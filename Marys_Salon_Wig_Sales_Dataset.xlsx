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6.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75"/>
  <workbookPr hidePivotFieldList="1"/>
  <mc:AlternateContent xmlns:mc="http://schemas.openxmlformats.org/markup-compatibility/2006">
    <mc:Choice Requires="x15">
      <x15ac:absPath xmlns:x15ac="http://schemas.microsoft.com/office/spreadsheetml/2010/11/ac" url="C:\Users\Lawal\Desktop\"/>
    </mc:Choice>
  </mc:AlternateContent>
  <xr:revisionPtr revIDLastSave="0" documentId="13_ncr:1_{028287BE-B9F9-47F3-8C06-F5C8E0D7F53F}" xr6:coauthVersionLast="36" xr6:coauthVersionMax="36" xr10:uidLastSave="{00000000-0000-0000-0000-000000000000}"/>
  <bookViews>
    <workbookView xWindow="0" yWindow="0" windowWidth="23040" windowHeight="10284" activeTab="3" xr2:uid="{00000000-000D-0000-FFFF-FFFF00000000}"/>
  </bookViews>
  <sheets>
    <sheet name="Pivot Tables" sheetId="7" r:id="rId1"/>
    <sheet name="Dashboard" sheetId="9" r:id="rId2"/>
    <sheet name="KPI" sheetId="11" r:id="rId3"/>
    <sheet name="Cleaned Data" sheetId="1" r:id="rId4"/>
    <sheet name="Raw_Data " sheetId="6" r:id="rId5"/>
    <sheet name="Data_Dictionary" sheetId="2" r:id="rId6"/>
  </sheets>
  <definedNames>
    <definedName name="_xlnm._FilterDatabase" localSheetId="3" hidden="1">'Cleaned Data'!$A$1:$G$211</definedName>
    <definedName name="_xlnm._FilterDatabase" localSheetId="4" hidden="1">'Raw_Data '!$A$1:$G$211</definedName>
    <definedName name="Slicer_Purchase_Date">#N/A</definedName>
    <definedName name="Slicer_Wig_Purchased">#N/A</definedName>
  </definedNames>
  <calcPr calcId="191029"/>
  <pivotCaches>
    <pivotCache cacheId="0" r:id="rId7"/>
    <pivotCache cacheId="1" r:id="rId8"/>
    <pivotCache cacheId="2" r:id="rId9"/>
    <pivotCache cacheId="3" r:id="rId10"/>
    <pivotCache cacheId="4" r:id="rId11"/>
    <pivotCache cacheId="5"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Lst>
</workbook>
</file>

<file path=xl/calcChain.xml><?xml version="1.0" encoding="utf-8"?>
<calcChain xmlns="http://schemas.openxmlformats.org/spreadsheetml/2006/main">
  <c r="I211" i="1" l="1"/>
  <c r="I210" i="1"/>
  <c r="I209" i="1"/>
  <c r="I208" i="1"/>
  <c r="I207" i="1"/>
  <c r="I206" i="1"/>
  <c r="I205" i="1"/>
  <c r="I203" i="1"/>
  <c r="I202" i="1"/>
  <c r="I201" i="1"/>
  <c r="I200" i="1"/>
  <c r="I199" i="1"/>
  <c r="I198" i="1"/>
  <c r="I197" i="1"/>
  <c r="I196" i="1"/>
  <c r="I195" i="1"/>
  <c r="I194" i="1"/>
  <c r="I193" i="1"/>
  <c r="I189" i="1"/>
  <c r="I188" i="1"/>
  <c r="I187" i="1"/>
  <c r="I186" i="1"/>
  <c r="I185" i="1"/>
  <c r="I184" i="1"/>
  <c r="I183" i="1"/>
  <c r="I182" i="1"/>
  <c r="I181" i="1"/>
  <c r="I180" i="1"/>
  <c r="I179" i="1"/>
  <c r="I178" i="1"/>
  <c r="I177" i="1"/>
  <c r="I176" i="1"/>
  <c r="I175" i="1"/>
  <c r="I174" i="1"/>
  <c r="I173" i="1"/>
  <c r="I172" i="1"/>
  <c r="I171" i="1"/>
  <c r="I170" i="1"/>
  <c r="I169" i="1"/>
  <c r="I168" i="1"/>
  <c r="I167" i="1"/>
  <c r="I166" i="1"/>
  <c r="I165" i="1"/>
  <c r="I164" i="1"/>
  <c r="I163" i="1"/>
  <c r="I162" i="1"/>
  <c r="I161" i="1"/>
  <c r="I160" i="1"/>
  <c r="I158" i="1"/>
  <c r="I157" i="1"/>
  <c r="I156" i="1"/>
  <c r="I155" i="1"/>
  <c r="I154" i="1"/>
  <c r="I153" i="1"/>
  <c r="I152" i="1"/>
  <c r="I151" i="1"/>
  <c r="I150" i="1"/>
  <c r="I149" i="1"/>
  <c r="I148" i="1"/>
  <c r="I147" i="1"/>
  <c r="I146" i="1"/>
  <c r="I145" i="1"/>
  <c r="I144" i="1"/>
  <c r="I143" i="1"/>
  <c r="I142" i="1"/>
  <c r="I141" i="1"/>
  <c r="I140" i="1"/>
  <c r="I139" i="1"/>
  <c r="I138" i="1"/>
  <c r="I137" i="1"/>
  <c r="I136" i="1"/>
  <c r="I135" i="1"/>
  <c r="I134" i="1"/>
  <c r="I133" i="1"/>
  <c r="I132" i="1"/>
  <c r="I131" i="1"/>
  <c r="I130" i="1"/>
  <c r="I129" i="1"/>
  <c r="I128" i="1"/>
  <c r="I127" i="1"/>
  <c r="I126" i="1"/>
  <c r="I125" i="1"/>
  <c r="I124" i="1"/>
  <c r="I123" i="1"/>
  <c r="I122" i="1"/>
  <c r="I121" i="1"/>
  <c r="I120" i="1"/>
  <c r="I119" i="1"/>
  <c r="I115" i="1"/>
  <c r="I114" i="1"/>
  <c r="I113" i="1"/>
  <c r="I111" i="1"/>
  <c r="I110" i="1"/>
  <c r="I109" i="1"/>
  <c r="I108" i="1"/>
  <c r="I107" i="1"/>
  <c r="I106" i="1"/>
  <c r="I105" i="1"/>
  <c r="I104" i="1"/>
  <c r="I103" i="1"/>
  <c r="I102" i="1"/>
  <c r="I101" i="1"/>
  <c r="I100" i="1"/>
  <c r="I99" i="1"/>
  <c r="I98" i="1"/>
  <c r="I97" i="1"/>
  <c r="I96" i="1"/>
  <c r="I95" i="1"/>
  <c r="I94" i="1"/>
  <c r="I93" i="1"/>
  <c r="I92" i="1"/>
  <c r="I91" i="1"/>
  <c r="I90" i="1"/>
  <c r="I89" i="1"/>
  <c r="I88" i="1"/>
  <c r="I85" i="1"/>
  <c r="I84" i="1"/>
  <c r="I83" i="1"/>
  <c r="I82" i="1"/>
  <c r="I81" i="1"/>
  <c r="I80" i="1"/>
  <c r="I79" i="1"/>
  <c r="I78" i="1"/>
  <c r="I77" i="1"/>
  <c r="I76" i="1"/>
  <c r="I75" i="1"/>
  <c r="I74" i="1"/>
  <c r="I73" i="1"/>
  <c r="I70" i="1"/>
  <c r="I69" i="1"/>
  <c r="I68" i="1"/>
  <c r="I67" i="1"/>
  <c r="I66" i="1"/>
  <c r="I65" i="1"/>
  <c r="I64" i="1"/>
  <c r="I63" i="1"/>
  <c r="I62" i="1"/>
  <c r="I61" i="1"/>
  <c r="I59" i="1"/>
  <c r="I58" i="1"/>
  <c r="I56" i="1"/>
  <c r="I55" i="1"/>
  <c r="I54" i="1"/>
  <c r="I53" i="1"/>
  <c r="I52" i="1"/>
  <c r="I50" i="1"/>
  <c r="I49" i="1"/>
  <c r="I48" i="1"/>
  <c r="I47" i="1"/>
  <c r="I46" i="1"/>
  <c r="I45" i="1"/>
  <c r="I44" i="1"/>
  <c r="I43" i="1"/>
  <c r="I42" i="1"/>
  <c r="I41" i="1"/>
  <c r="I40" i="1"/>
  <c r="I39" i="1"/>
  <c r="I37" i="1"/>
  <c r="I36" i="1"/>
  <c r="I35" i="1"/>
  <c r="I34" i="1"/>
  <c r="I33" i="1"/>
  <c r="I32" i="1"/>
  <c r="I31" i="1"/>
  <c r="I30" i="1"/>
  <c r="I29" i="1"/>
  <c r="I28" i="1"/>
  <c r="I27" i="1"/>
  <c r="I25" i="1"/>
  <c r="I24" i="1"/>
  <c r="I22" i="1"/>
  <c r="I21" i="1"/>
  <c r="I20" i="1"/>
  <c r="I19" i="1"/>
  <c r="I18" i="1"/>
  <c r="I16" i="1"/>
  <c r="I15" i="1"/>
  <c r="I14" i="1"/>
  <c r="I13" i="1"/>
  <c r="I12" i="1"/>
  <c r="I11" i="1"/>
  <c r="I10" i="1"/>
  <c r="I9" i="1"/>
  <c r="I8" i="1"/>
  <c r="I6" i="1"/>
  <c r="I5" i="1"/>
  <c r="I4" i="1"/>
  <c r="I3" i="1"/>
  <c r="I2" i="1"/>
  <c r="H211" i="1"/>
  <c r="J211" i="1" s="1"/>
  <c r="K211" i="1" s="1"/>
  <c r="H210" i="1"/>
  <c r="H209" i="1"/>
  <c r="J209" i="1" s="1"/>
  <c r="K209" i="1" s="1"/>
  <c r="H208" i="1"/>
  <c r="H207" i="1"/>
  <c r="J207" i="1" s="1"/>
  <c r="K207" i="1" s="1"/>
  <c r="H206" i="1"/>
  <c r="H205" i="1"/>
  <c r="J205" i="1" s="1"/>
  <c r="K205" i="1" s="1"/>
  <c r="H203" i="1"/>
  <c r="H202" i="1"/>
  <c r="J202" i="1" s="1"/>
  <c r="K202" i="1" s="1"/>
  <c r="H201" i="1"/>
  <c r="H200" i="1"/>
  <c r="J200" i="1" s="1"/>
  <c r="K200" i="1" s="1"/>
  <c r="H199" i="1"/>
  <c r="H198" i="1"/>
  <c r="J198" i="1" s="1"/>
  <c r="K198" i="1" s="1"/>
  <c r="H197" i="1"/>
  <c r="H196" i="1"/>
  <c r="J196" i="1" s="1"/>
  <c r="K196" i="1" s="1"/>
  <c r="H195" i="1"/>
  <c r="H194" i="1"/>
  <c r="J194" i="1" s="1"/>
  <c r="K194" i="1" s="1"/>
  <c r="H193" i="1"/>
  <c r="H189" i="1"/>
  <c r="J189" i="1" s="1"/>
  <c r="K189" i="1" s="1"/>
  <c r="H188" i="1"/>
  <c r="H187" i="1"/>
  <c r="J187" i="1" s="1"/>
  <c r="K187" i="1" s="1"/>
  <c r="H186" i="1"/>
  <c r="H185" i="1"/>
  <c r="J185" i="1" s="1"/>
  <c r="K185" i="1" s="1"/>
  <c r="H184" i="1"/>
  <c r="H183" i="1"/>
  <c r="J183" i="1" s="1"/>
  <c r="K183" i="1" s="1"/>
  <c r="H182" i="1"/>
  <c r="H181" i="1"/>
  <c r="J181" i="1" s="1"/>
  <c r="K181" i="1" s="1"/>
  <c r="H180" i="1"/>
  <c r="H179" i="1"/>
  <c r="J179" i="1" s="1"/>
  <c r="K179" i="1" s="1"/>
  <c r="H178" i="1"/>
  <c r="H177" i="1"/>
  <c r="J177" i="1" s="1"/>
  <c r="K177" i="1" s="1"/>
  <c r="H176" i="1"/>
  <c r="H175" i="1"/>
  <c r="J175" i="1" s="1"/>
  <c r="K175" i="1" s="1"/>
  <c r="H174" i="1"/>
  <c r="H173" i="1"/>
  <c r="J173" i="1" s="1"/>
  <c r="K173" i="1" s="1"/>
  <c r="H172" i="1"/>
  <c r="H171" i="1"/>
  <c r="J171" i="1" s="1"/>
  <c r="K171" i="1" s="1"/>
  <c r="H170" i="1"/>
  <c r="H169" i="1"/>
  <c r="J169" i="1" s="1"/>
  <c r="K169" i="1" s="1"/>
  <c r="H168" i="1"/>
  <c r="H167" i="1"/>
  <c r="J167" i="1" s="1"/>
  <c r="K167" i="1" s="1"/>
  <c r="H166" i="1"/>
  <c r="H165" i="1"/>
  <c r="J165" i="1" s="1"/>
  <c r="K165" i="1" s="1"/>
  <c r="H164" i="1"/>
  <c r="H163" i="1"/>
  <c r="J163" i="1" s="1"/>
  <c r="K163" i="1" s="1"/>
  <c r="H162" i="1"/>
  <c r="H161" i="1"/>
  <c r="J161" i="1" s="1"/>
  <c r="K161" i="1" s="1"/>
  <c r="H160" i="1"/>
  <c r="H158" i="1"/>
  <c r="J158" i="1" s="1"/>
  <c r="K158" i="1" s="1"/>
  <c r="H157" i="1"/>
  <c r="H156" i="1"/>
  <c r="J156" i="1" s="1"/>
  <c r="K156" i="1" s="1"/>
  <c r="H155" i="1"/>
  <c r="H154" i="1"/>
  <c r="J154" i="1" s="1"/>
  <c r="K154" i="1" s="1"/>
  <c r="H153" i="1"/>
  <c r="H152" i="1"/>
  <c r="J152" i="1" s="1"/>
  <c r="K152" i="1" s="1"/>
  <c r="H151" i="1"/>
  <c r="H150" i="1"/>
  <c r="J150" i="1" s="1"/>
  <c r="K150" i="1" s="1"/>
  <c r="H149" i="1"/>
  <c r="H148" i="1"/>
  <c r="J148" i="1" s="1"/>
  <c r="K148" i="1" s="1"/>
  <c r="H147" i="1"/>
  <c r="H146" i="1"/>
  <c r="J146" i="1" s="1"/>
  <c r="K146" i="1" s="1"/>
  <c r="H145" i="1"/>
  <c r="H144" i="1"/>
  <c r="J144" i="1" s="1"/>
  <c r="K144" i="1" s="1"/>
  <c r="H143" i="1"/>
  <c r="H142" i="1"/>
  <c r="J142" i="1" s="1"/>
  <c r="K142" i="1" s="1"/>
  <c r="H141" i="1"/>
  <c r="H140" i="1"/>
  <c r="J140" i="1" s="1"/>
  <c r="K140" i="1" s="1"/>
  <c r="H139" i="1"/>
  <c r="H138" i="1"/>
  <c r="J138" i="1" s="1"/>
  <c r="K138" i="1" s="1"/>
  <c r="H137" i="1"/>
  <c r="H136" i="1"/>
  <c r="J136" i="1" s="1"/>
  <c r="K136" i="1" s="1"/>
  <c r="H135" i="1"/>
  <c r="H134" i="1"/>
  <c r="J134" i="1" s="1"/>
  <c r="K134" i="1" s="1"/>
  <c r="H133" i="1"/>
  <c r="H132" i="1"/>
  <c r="J132" i="1" s="1"/>
  <c r="K132" i="1" s="1"/>
  <c r="H131" i="1"/>
  <c r="H130" i="1"/>
  <c r="J130" i="1" s="1"/>
  <c r="K130" i="1" s="1"/>
  <c r="H129" i="1"/>
  <c r="H128" i="1"/>
  <c r="J128" i="1" s="1"/>
  <c r="K128" i="1" s="1"/>
  <c r="H127" i="1"/>
  <c r="H126" i="1"/>
  <c r="J126" i="1" s="1"/>
  <c r="K126" i="1" s="1"/>
  <c r="H125" i="1"/>
  <c r="H124" i="1"/>
  <c r="J124" i="1" s="1"/>
  <c r="K124" i="1" s="1"/>
  <c r="H123" i="1"/>
  <c r="H122" i="1"/>
  <c r="J122" i="1" s="1"/>
  <c r="K122" i="1" s="1"/>
  <c r="H121" i="1"/>
  <c r="H120" i="1"/>
  <c r="J120" i="1" s="1"/>
  <c r="K120" i="1" s="1"/>
  <c r="H119" i="1"/>
  <c r="H115" i="1"/>
  <c r="J115" i="1" s="1"/>
  <c r="K115" i="1" s="1"/>
  <c r="H114" i="1"/>
  <c r="H113" i="1"/>
  <c r="J113" i="1" s="1"/>
  <c r="K113" i="1" s="1"/>
  <c r="H111" i="1"/>
  <c r="H110" i="1"/>
  <c r="J110" i="1" s="1"/>
  <c r="K110" i="1" s="1"/>
  <c r="H109" i="1"/>
  <c r="H108" i="1"/>
  <c r="J108" i="1" s="1"/>
  <c r="K108" i="1" s="1"/>
  <c r="H107" i="1"/>
  <c r="H106" i="1"/>
  <c r="J106" i="1" s="1"/>
  <c r="K106" i="1" s="1"/>
  <c r="H105" i="1"/>
  <c r="H104" i="1"/>
  <c r="J104" i="1" s="1"/>
  <c r="K104" i="1" s="1"/>
  <c r="H103" i="1"/>
  <c r="H102" i="1"/>
  <c r="J102" i="1" s="1"/>
  <c r="K102" i="1" s="1"/>
  <c r="H101" i="1"/>
  <c r="H100" i="1"/>
  <c r="J100" i="1" s="1"/>
  <c r="K100" i="1" s="1"/>
  <c r="H99" i="1"/>
  <c r="H98" i="1"/>
  <c r="J98" i="1" s="1"/>
  <c r="K98" i="1" s="1"/>
  <c r="H97" i="1"/>
  <c r="H96" i="1"/>
  <c r="J96" i="1" s="1"/>
  <c r="K96" i="1" s="1"/>
  <c r="H95" i="1"/>
  <c r="H94" i="1"/>
  <c r="J94" i="1" s="1"/>
  <c r="K94" i="1" s="1"/>
  <c r="H93" i="1"/>
  <c r="H92" i="1"/>
  <c r="J92" i="1" s="1"/>
  <c r="K92" i="1" s="1"/>
  <c r="H91" i="1"/>
  <c r="H90" i="1"/>
  <c r="J90" i="1" s="1"/>
  <c r="K90" i="1" s="1"/>
  <c r="H89" i="1"/>
  <c r="H88" i="1"/>
  <c r="J88" i="1" s="1"/>
  <c r="K88" i="1" s="1"/>
  <c r="H85" i="1"/>
  <c r="H84" i="1"/>
  <c r="J84" i="1" s="1"/>
  <c r="K84" i="1" s="1"/>
  <c r="H83" i="1"/>
  <c r="H82" i="1"/>
  <c r="J82" i="1" s="1"/>
  <c r="K82" i="1" s="1"/>
  <c r="H81" i="1"/>
  <c r="H80" i="1"/>
  <c r="J80" i="1" s="1"/>
  <c r="K80" i="1" s="1"/>
  <c r="H79" i="1"/>
  <c r="H78" i="1"/>
  <c r="J78" i="1" s="1"/>
  <c r="K78" i="1" s="1"/>
  <c r="H77" i="1"/>
  <c r="H76" i="1"/>
  <c r="J76" i="1" s="1"/>
  <c r="K76" i="1" s="1"/>
  <c r="H75" i="1"/>
  <c r="H74" i="1"/>
  <c r="J74" i="1" s="1"/>
  <c r="K74" i="1" s="1"/>
  <c r="H73" i="1"/>
  <c r="H70" i="1"/>
  <c r="J70" i="1" s="1"/>
  <c r="K70" i="1" s="1"/>
  <c r="H69" i="1"/>
  <c r="H68" i="1"/>
  <c r="J68" i="1" s="1"/>
  <c r="K68" i="1" s="1"/>
  <c r="H67" i="1"/>
  <c r="H66" i="1"/>
  <c r="J66" i="1" s="1"/>
  <c r="K66" i="1" s="1"/>
  <c r="H65" i="1"/>
  <c r="H64" i="1"/>
  <c r="J64" i="1" s="1"/>
  <c r="K64" i="1" s="1"/>
  <c r="H63" i="1"/>
  <c r="H62" i="1"/>
  <c r="J62" i="1" s="1"/>
  <c r="K62" i="1" s="1"/>
  <c r="H61" i="1"/>
  <c r="H59" i="1"/>
  <c r="J59" i="1" s="1"/>
  <c r="K59" i="1" s="1"/>
  <c r="H58" i="1"/>
  <c r="H56" i="1"/>
  <c r="J56" i="1" s="1"/>
  <c r="K56" i="1" s="1"/>
  <c r="H55" i="1"/>
  <c r="H54" i="1"/>
  <c r="J54" i="1" s="1"/>
  <c r="K54" i="1" s="1"/>
  <c r="H53" i="1"/>
  <c r="H52" i="1"/>
  <c r="J52" i="1" s="1"/>
  <c r="K52" i="1" s="1"/>
  <c r="H50" i="1"/>
  <c r="H49" i="1"/>
  <c r="J49" i="1" s="1"/>
  <c r="K49" i="1" s="1"/>
  <c r="H48" i="1"/>
  <c r="H47" i="1"/>
  <c r="J47" i="1" s="1"/>
  <c r="K47" i="1" s="1"/>
  <c r="H46" i="1"/>
  <c r="H45" i="1"/>
  <c r="J45" i="1" s="1"/>
  <c r="K45" i="1" s="1"/>
  <c r="H44" i="1"/>
  <c r="H43" i="1"/>
  <c r="J43" i="1" s="1"/>
  <c r="K43" i="1" s="1"/>
  <c r="H42" i="1"/>
  <c r="H41" i="1"/>
  <c r="J41" i="1" s="1"/>
  <c r="K41" i="1" s="1"/>
  <c r="H40" i="1"/>
  <c r="H39" i="1"/>
  <c r="J39" i="1" s="1"/>
  <c r="K39" i="1" s="1"/>
  <c r="H37" i="1"/>
  <c r="H36" i="1"/>
  <c r="J36" i="1" s="1"/>
  <c r="K36" i="1" s="1"/>
  <c r="H35" i="1"/>
  <c r="H34" i="1"/>
  <c r="J34" i="1" s="1"/>
  <c r="K34" i="1" s="1"/>
  <c r="H33" i="1"/>
  <c r="H32" i="1"/>
  <c r="J32" i="1" s="1"/>
  <c r="K32" i="1" s="1"/>
  <c r="H31" i="1"/>
  <c r="H30" i="1"/>
  <c r="J30" i="1" s="1"/>
  <c r="K30" i="1" s="1"/>
  <c r="H29" i="1"/>
  <c r="H28" i="1"/>
  <c r="J28" i="1" s="1"/>
  <c r="K28" i="1" s="1"/>
  <c r="H27" i="1"/>
  <c r="H25" i="1"/>
  <c r="J25" i="1" s="1"/>
  <c r="K25" i="1" s="1"/>
  <c r="H24" i="1"/>
  <c r="H22" i="1"/>
  <c r="J22" i="1" s="1"/>
  <c r="K22" i="1" s="1"/>
  <c r="H21" i="1"/>
  <c r="H20" i="1"/>
  <c r="J20" i="1" s="1"/>
  <c r="K20" i="1" s="1"/>
  <c r="H19" i="1"/>
  <c r="H18" i="1"/>
  <c r="J18" i="1" s="1"/>
  <c r="K18" i="1" s="1"/>
  <c r="H16" i="1"/>
  <c r="H15" i="1"/>
  <c r="J15" i="1" s="1"/>
  <c r="K15" i="1" s="1"/>
  <c r="H14" i="1"/>
  <c r="H13" i="1"/>
  <c r="J13" i="1" s="1"/>
  <c r="K13" i="1" s="1"/>
  <c r="H12" i="1"/>
  <c r="H11" i="1"/>
  <c r="J11" i="1" s="1"/>
  <c r="K11" i="1" s="1"/>
  <c r="H10" i="1"/>
  <c r="H9" i="1"/>
  <c r="J9" i="1" s="1"/>
  <c r="K9" i="1" s="1"/>
  <c r="H8" i="1"/>
  <c r="H6" i="1"/>
  <c r="J6" i="1" s="1"/>
  <c r="K6" i="1" s="1"/>
  <c r="H5" i="1"/>
  <c r="H4" i="1"/>
  <c r="J4" i="1" s="1"/>
  <c r="K4" i="1" s="1"/>
  <c r="H3" i="1"/>
  <c r="H2" i="1"/>
  <c r="J2" i="1" s="1"/>
  <c r="K2" i="1" s="1"/>
  <c r="D8" i="11"/>
  <c r="C8" i="11"/>
  <c r="B8" i="11"/>
  <c r="A8" i="11"/>
  <c r="J3" i="1" l="1"/>
  <c r="K3" i="1" s="1"/>
  <c r="J5" i="1"/>
  <c r="K5" i="1" s="1"/>
  <c r="J8" i="1"/>
  <c r="K8" i="1" s="1"/>
  <c r="J10" i="1"/>
  <c r="K10" i="1" s="1"/>
  <c r="J12" i="1"/>
  <c r="K12" i="1" s="1"/>
  <c r="J14" i="1"/>
  <c r="K14" i="1" s="1"/>
  <c r="J16" i="1"/>
  <c r="K16" i="1" s="1"/>
  <c r="J19" i="1"/>
  <c r="K19" i="1" s="1"/>
  <c r="J21" i="1"/>
  <c r="K21" i="1" s="1"/>
  <c r="J24" i="1"/>
  <c r="K24" i="1" s="1"/>
  <c r="J27" i="1"/>
  <c r="K27" i="1" s="1"/>
  <c r="J29" i="1"/>
  <c r="K29" i="1" s="1"/>
  <c r="J31" i="1"/>
  <c r="K31" i="1" s="1"/>
  <c r="J33" i="1"/>
  <c r="K33" i="1" s="1"/>
  <c r="J35" i="1"/>
  <c r="K35" i="1" s="1"/>
  <c r="J37" i="1"/>
  <c r="K37" i="1" s="1"/>
  <c r="J40" i="1"/>
  <c r="K40" i="1" s="1"/>
  <c r="J42" i="1"/>
  <c r="K42" i="1" s="1"/>
  <c r="J44" i="1"/>
  <c r="K44" i="1" s="1"/>
  <c r="J46" i="1"/>
  <c r="K46" i="1" s="1"/>
  <c r="J48" i="1"/>
  <c r="K48" i="1" s="1"/>
  <c r="J50" i="1"/>
  <c r="K50" i="1" s="1"/>
  <c r="J53" i="1"/>
  <c r="K53" i="1" s="1"/>
  <c r="J55" i="1"/>
  <c r="K55" i="1" s="1"/>
  <c r="J58" i="1"/>
  <c r="K58" i="1" s="1"/>
  <c r="J61" i="1"/>
  <c r="K61" i="1" s="1"/>
  <c r="J63" i="1"/>
  <c r="K63" i="1" s="1"/>
  <c r="J65" i="1"/>
  <c r="K65" i="1" s="1"/>
  <c r="J67" i="1"/>
  <c r="K67" i="1" s="1"/>
  <c r="J69" i="1"/>
  <c r="K69" i="1" s="1"/>
  <c r="J73" i="1"/>
  <c r="K73" i="1" s="1"/>
  <c r="J75" i="1"/>
  <c r="K75" i="1" s="1"/>
  <c r="J77" i="1"/>
  <c r="K77" i="1" s="1"/>
  <c r="J79" i="1"/>
  <c r="K79" i="1" s="1"/>
  <c r="J81" i="1"/>
  <c r="K81" i="1" s="1"/>
  <c r="J83" i="1"/>
  <c r="K83" i="1" s="1"/>
  <c r="J85" i="1"/>
  <c r="K85" i="1" s="1"/>
  <c r="J89" i="1"/>
  <c r="K89" i="1" s="1"/>
  <c r="J91" i="1"/>
  <c r="K91" i="1" s="1"/>
  <c r="J93" i="1"/>
  <c r="K93" i="1" s="1"/>
  <c r="J95" i="1"/>
  <c r="K95" i="1" s="1"/>
  <c r="J97" i="1"/>
  <c r="K97" i="1" s="1"/>
  <c r="J99" i="1"/>
  <c r="K99" i="1" s="1"/>
  <c r="J101" i="1"/>
  <c r="K101" i="1" s="1"/>
  <c r="J103" i="1"/>
  <c r="K103" i="1" s="1"/>
  <c r="J105" i="1"/>
  <c r="K105" i="1" s="1"/>
  <c r="J107" i="1"/>
  <c r="K107" i="1" s="1"/>
  <c r="J109" i="1"/>
  <c r="K109" i="1" s="1"/>
  <c r="J111" i="1"/>
  <c r="K111" i="1" s="1"/>
  <c r="J114" i="1"/>
  <c r="K114" i="1" s="1"/>
  <c r="J119" i="1"/>
  <c r="K119" i="1" s="1"/>
  <c r="J121" i="1"/>
  <c r="K121" i="1" s="1"/>
  <c r="J123" i="1"/>
  <c r="K123" i="1" s="1"/>
  <c r="J125" i="1"/>
  <c r="K125" i="1" s="1"/>
  <c r="J127" i="1"/>
  <c r="K127" i="1" s="1"/>
  <c r="J129" i="1"/>
  <c r="K129" i="1" s="1"/>
  <c r="J131" i="1"/>
  <c r="K131" i="1" s="1"/>
  <c r="J133" i="1"/>
  <c r="K133" i="1" s="1"/>
  <c r="J135" i="1"/>
  <c r="K135" i="1" s="1"/>
  <c r="J137" i="1"/>
  <c r="K137" i="1" s="1"/>
  <c r="J139" i="1"/>
  <c r="K139" i="1" s="1"/>
  <c r="J141" i="1"/>
  <c r="K141" i="1" s="1"/>
  <c r="J143" i="1"/>
  <c r="K143" i="1" s="1"/>
  <c r="J145" i="1"/>
  <c r="K145" i="1" s="1"/>
  <c r="J147" i="1"/>
  <c r="K147" i="1" s="1"/>
  <c r="J149" i="1"/>
  <c r="K149" i="1" s="1"/>
  <c r="J151" i="1"/>
  <c r="K151" i="1" s="1"/>
  <c r="J153" i="1"/>
  <c r="K153" i="1" s="1"/>
  <c r="J155" i="1"/>
  <c r="K155" i="1" s="1"/>
  <c r="J157" i="1"/>
  <c r="K157" i="1" s="1"/>
  <c r="J160" i="1"/>
  <c r="K160" i="1" s="1"/>
  <c r="J162" i="1"/>
  <c r="K162" i="1" s="1"/>
  <c r="J164" i="1"/>
  <c r="K164" i="1" s="1"/>
  <c r="J166" i="1"/>
  <c r="K166" i="1" s="1"/>
  <c r="J168" i="1"/>
  <c r="K168" i="1" s="1"/>
  <c r="J170" i="1"/>
  <c r="K170" i="1" s="1"/>
  <c r="J172" i="1"/>
  <c r="K172" i="1" s="1"/>
  <c r="J174" i="1"/>
  <c r="K174" i="1" s="1"/>
  <c r="J176" i="1"/>
  <c r="K176" i="1" s="1"/>
  <c r="J178" i="1"/>
  <c r="K178" i="1" s="1"/>
  <c r="J180" i="1"/>
  <c r="K180" i="1" s="1"/>
  <c r="J182" i="1"/>
  <c r="K182" i="1" s="1"/>
  <c r="J184" i="1"/>
  <c r="K184" i="1" s="1"/>
  <c r="J186" i="1"/>
  <c r="K186" i="1" s="1"/>
  <c r="J188" i="1"/>
  <c r="K188" i="1" s="1"/>
  <c r="J193" i="1"/>
  <c r="K193" i="1" s="1"/>
  <c r="J195" i="1"/>
  <c r="K195" i="1" s="1"/>
  <c r="J197" i="1"/>
  <c r="K197" i="1" s="1"/>
  <c r="J199" i="1"/>
  <c r="K199" i="1" s="1"/>
  <c r="J201" i="1"/>
  <c r="K201" i="1" s="1"/>
  <c r="J203" i="1"/>
  <c r="K203" i="1" s="1"/>
  <c r="J206" i="1"/>
  <c r="K206" i="1" s="1"/>
  <c r="J208" i="1"/>
  <c r="K208" i="1" s="1"/>
  <c r="J210" i="1"/>
  <c r="K210" i="1" s="1"/>
</calcChain>
</file>

<file path=xl/sharedStrings.xml><?xml version="1.0" encoding="utf-8"?>
<sst xmlns="http://schemas.openxmlformats.org/spreadsheetml/2006/main" count="1377" uniqueCount="507">
  <si>
    <t>S/N</t>
  </si>
  <si>
    <t>Customer Name</t>
  </si>
  <si>
    <t>Wig Purchased</t>
  </si>
  <si>
    <t>Quantity</t>
  </si>
  <si>
    <t>Selling Price (₦)</t>
  </si>
  <si>
    <t>Cost Price (₦)</t>
  </si>
  <si>
    <t>Purchase Date</t>
  </si>
  <si>
    <t>Esther Chukwu</t>
  </si>
  <si>
    <t>Human Hair</t>
  </si>
  <si>
    <t>Chiamaka Adeyemi</t>
  </si>
  <si>
    <t>HD Lace Front Wig</t>
  </si>
  <si>
    <t>Mary Balogun</t>
  </si>
  <si>
    <t xml:space="preserve"> Closure Wig</t>
  </si>
  <si>
    <t>Nneka Olawale</t>
  </si>
  <si>
    <t>Blend Wig</t>
  </si>
  <si>
    <t>peace yusuf</t>
  </si>
  <si>
    <t>Full Lace Wig</t>
  </si>
  <si>
    <t>238,000</t>
  </si>
  <si>
    <t>Aisha Ogunleye</t>
  </si>
  <si>
    <t>Headband Wig</t>
  </si>
  <si>
    <t>Sharon Akinyemi</t>
  </si>
  <si>
    <t>Bang Wig</t>
  </si>
  <si>
    <t>Amaka Oni</t>
  </si>
  <si>
    <t>Zainab Akinyemi</t>
  </si>
  <si>
    <t>1</t>
  </si>
  <si>
    <t>Hannah Okafor</t>
  </si>
  <si>
    <t>Skull Cap</t>
  </si>
  <si>
    <t>JOY OWOLABI</t>
  </si>
  <si>
    <t>Miriam Umeh</t>
  </si>
  <si>
    <t>Machine Made Wig</t>
  </si>
  <si>
    <t xml:space="preserve"> 51000 </t>
  </si>
  <si>
    <t>Ruth Ajayi</t>
  </si>
  <si>
    <t xml:space="preserve"> Human Hair </t>
  </si>
  <si>
    <t>Sophia Olawale</t>
  </si>
  <si>
    <t>Mercy Ibrahim</t>
  </si>
  <si>
    <t>FULL LACE WIG</t>
  </si>
  <si>
    <t>Peace Okafor</t>
  </si>
  <si>
    <t>Bob Wig</t>
  </si>
  <si>
    <t>Tolu Salami</t>
  </si>
  <si>
    <t xml:space="preserve"> 360 Lace Wig</t>
  </si>
  <si>
    <t>Victoria Lawal</t>
  </si>
  <si>
    <t>4C Edges Wig</t>
  </si>
  <si>
    <t>Tolu Owolabi</t>
  </si>
  <si>
    <t>89,000</t>
  </si>
  <si>
    <t>PRECIOUS OKAFOR</t>
  </si>
  <si>
    <t>synthetic hair</t>
  </si>
  <si>
    <t>Sophia Eze</t>
  </si>
  <si>
    <t>Victoria Salami</t>
  </si>
  <si>
    <t>Favour Salami</t>
  </si>
  <si>
    <t>Mariam Afolabi</t>
  </si>
  <si>
    <t>Bouncy Wig</t>
  </si>
  <si>
    <t>Ifeoma Balogun</t>
  </si>
  <si>
    <t>Braided Wig</t>
  </si>
  <si>
    <t>143</t>
  </si>
  <si>
    <t>Precious Salami</t>
  </si>
  <si>
    <t xml:space="preserve"> Braided Wig</t>
  </si>
  <si>
    <t>Favour Ogunleye</t>
  </si>
  <si>
    <t>Joy Akinyemi</t>
  </si>
  <si>
    <t>Synthetic Hair</t>
  </si>
  <si>
    <t>Yetunde Akinyemi</t>
  </si>
  <si>
    <t xml:space="preserve"> 45000 </t>
  </si>
  <si>
    <t>GIFT ADEBAYO</t>
  </si>
  <si>
    <t xml:space="preserve"> Glueless Wig </t>
  </si>
  <si>
    <t>ruth afolabi</t>
  </si>
  <si>
    <t>Mariam Umeh</t>
  </si>
  <si>
    <t>Sandra Eze</t>
  </si>
  <si>
    <t>Teni Balogun</t>
  </si>
  <si>
    <t>bone straight</t>
  </si>
  <si>
    <t>Favour Owolabi</t>
  </si>
  <si>
    <t>Teni Akinyemi</t>
  </si>
  <si>
    <t xml:space="preserve">human hair  </t>
  </si>
  <si>
    <t>Ifeoma Olawale</t>
  </si>
  <si>
    <t xml:space="preserve"> Blend Wig</t>
  </si>
  <si>
    <t xml:space="preserve">  Victoria  Olawale </t>
  </si>
  <si>
    <t>64,000</t>
  </si>
  <si>
    <t>sandra eze</t>
  </si>
  <si>
    <t>PIXEL CURLS</t>
  </si>
  <si>
    <t xml:space="preserve"> 53000 </t>
  </si>
  <si>
    <t>Amaka Owolabi</t>
  </si>
  <si>
    <t>Joy Salami</t>
  </si>
  <si>
    <t>Closure Wig</t>
  </si>
  <si>
    <t>Zainab Afolabi</t>
  </si>
  <si>
    <t>Teni Umeh</t>
  </si>
  <si>
    <t>SKULL CAP</t>
  </si>
  <si>
    <t>Tolu Eze</t>
  </si>
  <si>
    <t>kemi balogun</t>
  </si>
  <si>
    <t>MACHINE MADE WIG</t>
  </si>
  <si>
    <t>Ada Akinyemi</t>
  </si>
  <si>
    <t>machine made wig</t>
  </si>
  <si>
    <t>Bone Straight</t>
  </si>
  <si>
    <t>Favour Olawale</t>
  </si>
  <si>
    <t>Mercy Owolabi</t>
  </si>
  <si>
    <t>Nneka Akinyemi</t>
  </si>
  <si>
    <t>Gift Akintola</t>
  </si>
  <si>
    <t>₦259,000</t>
  </si>
  <si>
    <t>Precious Ajayi</t>
  </si>
  <si>
    <t>Sophia Yusuf</t>
  </si>
  <si>
    <t xml:space="preserve">  Victoria  Akintola </t>
  </si>
  <si>
    <t>Victoria Ajayi</t>
  </si>
  <si>
    <t>Teni Ogunleye</t>
  </si>
  <si>
    <t>Peace Ogunleye</t>
  </si>
  <si>
    <t>Precious Umeh</t>
  </si>
  <si>
    <t>teni balogun</t>
  </si>
  <si>
    <t>Teni Eze</t>
  </si>
  <si>
    <t>RUTH OLAWALE</t>
  </si>
  <si>
    <t>esther ibrahim</t>
  </si>
  <si>
    <t>HD LACE FRONT WIG</t>
  </si>
  <si>
    <t>YETUNDE OGUNLEYE</t>
  </si>
  <si>
    <t>Janet Lawal</t>
  </si>
  <si>
    <t>Yetunde Ajayi</t>
  </si>
  <si>
    <t>Victoria Afolabi</t>
  </si>
  <si>
    <t xml:space="preserve"> 228000 </t>
  </si>
  <si>
    <t>Favour Akinyemi</t>
  </si>
  <si>
    <t>₦ 76,000</t>
  </si>
  <si>
    <t>Blessing Oni</t>
  </si>
  <si>
    <t>₦125,000</t>
  </si>
  <si>
    <t xml:space="preserve">  Gift  Akintola </t>
  </si>
  <si>
    <t>Favour Lawal</t>
  </si>
  <si>
    <t xml:space="preserve"> Human Hair .</t>
  </si>
  <si>
    <t>Teni Ibrahim</t>
  </si>
  <si>
    <t>pixel curls</t>
  </si>
  <si>
    <t>Hannah Eze</t>
  </si>
  <si>
    <t>Pixel Curls</t>
  </si>
  <si>
    <t>janet chukwu</t>
  </si>
  <si>
    <t>zainab lawal</t>
  </si>
  <si>
    <t xml:space="preserve"> Bone Straight</t>
  </si>
  <si>
    <t>Victoria Eze</t>
  </si>
  <si>
    <t>Mary Afolabi</t>
  </si>
  <si>
    <t>IFEOMA AFOLABI</t>
  </si>
  <si>
    <t>Yetunde Okeke</t>
  </si>
  <si>
    <t>₦ 166,000</t>
  </si>
  <si>
    <t>Kemi Okafor</t>
  </si>
  <si>
    <t>Aisha Okafor</t>
  </si>
  <si>
    <t xml:space="preserve"> Pixel Curls </t>
  </si>
  <si>
    <t>65,000</t>
  </si>
  <si>
    <t>Victoria Akintola</t>
  </si>
  <si>
    <t>Sophia Balogun</t>
  </si>
  <si>
    <t>Gift Adeyemi</t>
  </si>
  <si>
    <t>360 Lace Wig</t>
  </si>
  <si>
    <t>Chiamaka Akintola</t>
  </si>
  <si>
    <t>107,000</t>
  </si>
  <si>
    <t>PRECIOUS IBRAHIM</t>
  </si>
  <si>
    <t>Kemi Adebayo</t>
  </si>
  <si>
    <t>Glueless Wig</t>
  </si>
  <si>
    <t>₦80,000</t>
  </si>
  <si>
    <t>KEMI LAWAL</t>
  </si>
  <si>
    <t>HUMAN HAIR</t>
  </si>
  <si>
    <t>Ada Lawal</t>
  </si>
  <si>
    <t>bouncy wig</t>
  </si>
  <si>
    <t>Precious Afolabi</t>
  </si>
  <si>
    <t>blend wig</t>
  </si>
  <si>
    <t>Ifeoma Adebayo</t>
  </si>
  <si>
    <t>Gift Yusuf</t>
  </si>
  <si>
    <t>kemi adeyemi</t>
  </si>
  <si>
    <t>₦36,000</t>
  </si>
  <si>
    <t>₦26,000</t>
  </si>
  <si>
    <t>Deborah Ibrahim</t>
  </si>
  <si>
    <t>Joy Akintola</t>
  </si>
  <si>
    <t>Esther Olawale</t>
  </si>
  <si>
    <t>precious salami</t>
  </si>
  <si>
    <t>Chiamaka Ibrahim</t>
  </si>
  <si>
    <t xml:space="preserve"> Machine Made Wig</t>
  </si>
  <si>
    <t>Hannah Afolabi</t>
  </si>
  <si>
    <t>Chiamaka Ogunleye</t>
  </si>
  <si>
    <t>FAVOUR ONI</t>
  </si>
  <si>
    <t xml:space="preserve"> 95000 </t>
  </si>
  <si>
    <t>Blessing Owolabi</t>
  </si>
  <si>
    <t>Gift Adebayo</t>
  </si>
  <si>
    <t>₦97,000</t>
  </si>
  <si>
    <t>₦67,000</t>
  </si>
  <si>
    <t>Miriam Adeyemi</t>
  </si>
  <si>
    <t>SOPHIA CHUKWU</t>
  </si>
  <si>
    <t>Victoria Adebayo</t>
  </si>
  <si>
    <t>₦ 82,000</t>
  </si>
  <si>
    <t>Sharon Chukwu</t>
  </si>
  <si>
    <t>Yetunde Owolabi</t>
  </si>
  <si>
    <t xml:space="preserve"> Bouncy Wig</t>
  </si>
  <si>
    <t>₦64,000</t>
  </si>
  <si>
    <t>Teni Okeke</t>
  </si>
  <si>
    <t>glueless wig</t>
  </si>
  <si>
    <t>Joy Oni</t>
  </si>
  <si>
    <t>Chiamaka Ajayi</t>
  </si>
  <si>
    <t>Joy Afolabi</t>
  </si>
  <si>
    <t>SYNTHETIC HAIR</t>
  </si>
  <si>
    <t>sophia oni</t>
  </si>
  <si>
    <t>Joy Eze</t>
  </si>
  <si>
    <t>Hannah Salami</t>
  </si>
  <si>
    <t>119,000</t>
  </si>
  <si>
    <t>MIRIAM AKINTOLA</t>
  </si>
  <si>
    <t>149,000</t>
  </si>
  <si>
    <t>Miriam Lawal</t>
  </si>
  <si>
    <t xml:space="preserve"> Full Lace Wig</t>
  </si>
  <si>
    <t>Victoria Oni</t>
  </si>
  <si>
    <t>₦ 89,000</t>
  </si>
  <si>
    <t>Sandra Okafor</t>
  </si>
  <si>
    <t>CLOSURE WIG</t>
  </si>
  <si>
    <t>Nneka Oni</t>
  </si>
  <si>
    <t>Sophia Chukwu</t>
  </si>
  <si>
    <t>Victoria Okafor</t>
  </si>
  <si>
    <t>ruth akintola</t>
  </si>
  <si>
    <t xml:space="preserve"> Closure Wig </t>
  </si>
  <si>
    <t xml:space="preserve">  Peace  Afolabi </t>
  </si>
  <si>
    <t>Bang Wig.</t>
  </si>
  <si>
    <t xml:space="preserve">  Peace  Akintola </t>
  </si>
  <si>
    <t>janet owolabi</t>
  </si>
  <si>
    <t xml:space="preserve">Braided Wig  </t>
  </si>
  <si>
    <t>Janet Ajayi</t>
  </si>
  <si>
    <t>closure wig</t>
  </si>
  <si>
    <t>₦ 157,000</t>
  </si>
  <si>
    <t>Tolu Akinyemi</t>
  </si>
  <si>
    <t>Hannah Okeke</t>
  </si>
  <si>
    <t>Sophia Okafor</t>
  </si>
  <si>
    <t>hannah ajayi</t>
  </si>
  <si>
    <t>Yetunde Akintola</t>
  </si>
  <si>
    <t>bob wig</t>
  </si>
  <si>
    <t>Ruth Akinyemi</t>
  </si>
  <si>
    <t>Aisha Adeyemi</t>
  </si>
  <si>
    <t>YETUNDE AKINTOLA</t>
  </si>
  <si>
    <t>Teni Owolabi</t>
  </si>
  <si>
    <t>Janet Balogun</t>
  </si>
  <si>
    <t>Favour Ajayi</t>
  </si>
  <si>
    <t>Precious Eze</t>
  </si>
  <si>
    <t>129,000</t>
  </si>
  <si>
    <t>Zainab Olawale</t>
  </si>
  <si>
    <t>Miriam Okeke</t>
  </si>
  <si>
    <t>NNEKA UMEH</t>
  </si>
  <si>
    <t>₦20,000</t>
  </si>
  <si>
    <t xml:space="preserve">Synthetic Hair  </t>
  </si>
  <si>
    <t>JANET EZE</t>
  </si>
  <si>
    <t>gift adebayo</t>
  </si>
  <si>
    <t>Gift Okeke</t>
  </si>
  <si>
    <t>Zainab Lawal</t>
  </si>
  <si>
    <t xml:space="preserve"> 70000 </t>
  </si>
  <si>
    <t>Mary Adeyemi</t>
  </si>
  <si>
    <t>42,000</t>
  </si>
  <si>
    <t>Mary Owolabi</t>
  </si>
  <si>
    <t>BANG WIG</t>
  </si>
  <si>
    <t>zainab ajayi</t>
  </si>
  <si>
    <t>BOUNCY WIG</t>
  </si>
  <si>
    <t>Mercy Chukwu</t>
  </si>
  <si>
    <t>Aisha Yusuf</t>
  </si>
  <si>
    <t>Gift Chukwu</t>
  </si>
  <si>
    <t>Ruth Eze</t>
  </si>
  <si>
    <t xml:space="preserve">  Chiamaka  Salami </t>
  </si>
  <si>
    <t xml:space="preserve"> 48000 </t>
  </si>
  <si>
    <t>Chiamaka Adebayo</t>
  </si>
  <si>
    <t>Mary Okeke</t>
  </si>
  <si>
    <t>Ifeoma Adeyemi</t>
  </si>
  <si>
    <t>Sharon Owolabi</t>
  </si>
  <si>
    <t>Favour Akintola</t>
  </si>
  <si>
    <t xml:space="preserve"> 24000 </t>
  </si>
  <si>
    <t>Amaka Ibrahim</t>
  </si>
  <si>
    <t xml:space="preserve"> 29000 </t>
  </si>
  <si>
    <t xml:space="preserve">  Favour  Okafor </t>
  </si>
  <si>
    <t>2</t>
  </si>
  <si>
    <t>Blessing Adeyemi</t>
  </si>
  <si>
    <t xml:space="preserve"> Bob Wig </t>
  </si>
  <si>
    <t>Aisha Oni</t>
  </si>
  <si>
    <t>Kemi Umeh</t>
  </si>
  <si>
    <t>Nneka Lawal</t>
  </si>
  <si>
    <t>Amaka Eze</t>
  </si>
  <si>
    <t>Sandra Lawal</t>
  </si>
  <si>
    <t>Blessing Chukwu</t>
  </si>
  <si>
    <t>Ada Yusuf</t>
  </si>
  <si>
    <t>Gift Ogunleye</t>
  </si>
  <si>
    <t>Precious Adebayo</t>
  </si>
  <si>
    <t>4c edges wig</t>
  </si>
  <si>
    <t>Nneka Ogunleye</t>
  </si>
  <si>
    <t>Yetunde Lawal</t>
  </si>
  <si>
    <t>189</t>
  </si>
  <si>
    <t>Sophia Lawal</t>
  </si>
  <si>
    <t>₦48,000</t>
  </si>
  <si>
    <t>Miriam Akintola</t>
  </si>
  <si>
    <t>Chiamaka Balogun</t>
  </si>
  <si>
    <t>Blessing Ogunleye</t>
  </si>
  <si>
    <t>Sandra Ajayi</t>
  </si>
  <si>
    <t>Kemi Akinyemi</t>
  </si>
  <si>
    <t>Column</t>
  </si>
  <si>
    <t>Meaning</t>
  </si>
  <si>
    <t>Customer/transaction serial number</t>
  </si>
  <si>
    <t>Fictional customer name</t>
  </si>
  <si>
    <t>Type of wig purchased</t>
  </si>
  <si>
    <t>Number of units purchased</t>
  </si>
  <si>
    <t>Price charged per unit</t>
  </si>
  <si>
    <t>Estimated cost per unit</t>
  </si>
  <si>
    <t>Date of purchase</t>
  </si>
  <si>
    <t>Peace Yusuf</t>
  </si>
  <si>
    <t>Joy Owolabi</t>
  </si>
  <si>
    <t>Precious Okafor</t>
  </si>
  <si>
    <t>Ruth Afolabi</t>
  </si>
  <si>
    <t/>
  </si>
  <si>
    <t>Kemi Balogun</t>
  </si>
  <si>
    <t>Ruth Olawale</t>
  </si>
  <si>
    <t>Esther Ibrahim</t>
  </si>
  <si>
    <t>Yetunde Ogunleye</t>
  </si>
  <si>
    <t>Janet Chukwu</t>
  </si>
  <si>
    <t>Ifeoma Afolabi</t>
  </si>
  <si>
    <t>Precious Ibrahim</t>
  </si>
  <si>
    <t>Kemi Lawal</t>
  </si>
  <si>
    <t>Kemi Adeyemi</t>
  </si>
  <si>
    <t>Favour Oni</t>
  </si>
  <si>
    <t>Sophia Oni</t>
  </si>
  <si>
    <t>Ruth Akintola</t>
  </si>
  <si>
    <t>Janet Owolabi</t>
  </si>
  <si>
    <t>Hannah Ajayi</t>
  </si>
  <si>
    <t>Nneka Umeh</t>
  </si>
  <si>
    <t>Janet Eze</t>
  </si>
  <si>
    <t>Zainab Ajayi</t>
  </si>
  <si>
    <t>Hd Lace Front Wig</t>
  </si>
  <si>
    <t>Human Hair .</t>
  </si>
  <si>
    <t>Victoria Olawale</t>
  </si>
  <si>
    <t>Peace Afolabi</t>
  </si>
  <si>
    <t>Peace Akintola</t>
  </si>
  <si>
    <t>Chiamaka Salami</t>
  </si>
  <si>
    <t>Favour Okafor</t>
  </si>
  <si>
    <t>206000</t>
  </si>
  <si>
    <t>154000</t>
  </si>
  <si>
    <t>111000</t>
  </si>
  <si>
    <t>64000</t>
  </si>
  <si>
    <t>76000</t>
  </si>
  <si>
    <t>38000</t>
  </si>
  <si>
    <t>211000</t>
  </si>
  <si>
    <t>172000</t>
  </si>
  <si>
    <t>4000</t>
  </si>
  <si>
    <t>198000</t>
  </si>
  <si>
    <t>71000</t>
  </si>
  <si>
    <t>290000</t>
  </si>
  <si>
    <t>95000</t>
  </si>
  <si>
    <t>248000</t>
  </si>
  <si>
    <t>79000</t>
  </si>
  <si>
    <t>139000</t>
  </si>
  <si>
    <t>88000</t>
  </si>
  <si>
    <t>168000</t>
  </si>
  <si>
    <t>31000</t>
  </si>
  <si>
    <t>82000</t>
  </si>
  <si>
    <t>94000</t>
  </si>
  <si>
    <t>89000</t>
  </si>
  <si>
    <t>126000</t>
  </si>
  <si>
    <t>81000</t>
  </si>
  <si>
    <t>99000</t>
  </si>
  <si>
    <t>73000</t>
  </si>
  <si>
    <t>40000</t>
  </si>
  <si>
    <t>45000</t>
  </si>
  <si>
    <t>110000</t>
  </si>
  <si>
    <t>54000</t>
  </si>
  <si>
    <t>90000</t>
  </si>
  <si>
    <t>124000</t>
  </si>
  <si>
    <t>153000</t>
  </si>
  <si>
    <t>61000</t>
  </si>
  <si>
    <t>48000</t>
  </si>
  <si>
    <t>253000</t>
  </si>
  <si>
    <t>72000</t>
  </si>
  <si>
    <t>96000</t>
  </si>
  <si>
    <t>6000</t>
  </si>
  <si>
    <t>8000</t>
  </si>
  <si>
    <t>177000</t>
  </si>
  <si>
    <t>49000</t>
  </si>
  <si>
    <t>291000</t>
  </si>
  <si>
    <t>58000</t>
  </si>
  <si>
    <t>239000</t>
  </si>
  <si>
    <t>189000</t>
  </si>
  <si>
    <t>120000</t>
  </si>
  <si>
    <t>217000</t>
  </si>
  <si>
    <t>182000</t>
  </si>
  <si>
    <t>108000</t>
  </si>
  <si>
    <t>60000</t>
  </si>
  <si>
    <t>237000</t>
  </si>
  <si>
    <t>62000</t>
  </si>
  <si>
    <t>93000</t>
  </si>
  <si>
    <t>91000</t>
  </si>
  <si>
    <t>228000</t>
  </si>
  <si>
    <t>262000</t>
  </si>
  <si>
    <t>67000</t>
  </si>
  <si>
    <t>296000</t>
  </si>
  <si>
    <t>65000</t>
  </si>
  <si>
    <t>43000</t>
  </si>
  <si>
    <t>155000</t>
  </si>
  <si>
    <t>68000</t>
  </si>
  <si>
    <t>22000</t>
  </si>
  <si>
    <t>70000</t>
  </si>
  <si>
    <t>85000</t>
  </si>
  <si>
    <t>143000</t>
  </si>
  <si>
    <t>164000</t>
  </si>
  <si>
    <t>83000</t>
  </si>
  <si>
    <t>233000</t>
  </si>
  <si>
    <t>106000</t>
  </si>
  <si>
    <t>77000</t>
  </si>
  <si>
    <t>173000</t>
  </si>
  <si>
    <t>50000</t>
  </si>
  <si>
    <t>157000</t>
  </si>
  <si>
    <t>51000</t>
  </si>
  <si>
    <t>117000</t>
  </si>
  <si>
    <t>181000</t>
  </si>
  <si>
    <t>145000</t>
  </si>
  <si>
    <t>306000</t>
  </si>
  <si>
    <t>140000</t>
  </si>
  <si>
    <t>75000</t>
  </si>
  <si>
    <t>104000</t>
  </si>
  <si>
    <t>69000</t>
  </si>
  <si>
    <t>97000</t>
  </si>
  <si>
    <t>116000</t>
  </si>
  <si>
    <t>23000</t>
  </si>
  <si>
    <t>21000</t>
  </si>
  <si>
    <t>214000</t>
  </si>
  <si>
    <t>317000</t>
  </si>
  <si>
    <t>170000</t>
  </si>
  <si>
    <t>223000</t>
  </si>
  <si>
    <t>98000</t>
  </si>
  <si>
    <t>66000</t>
  </si>
  <si>
    <t>7000</t>
  </si>
  <si>
    <t>36000</t>
  </si>
  <si>
    <t>101000</t>
  </si>
  <si>
    <t>147000</t>
  </si>
  <si>
    <t>29000</t>
  </si>
  <si>
    <t>39000</t>
  </si>
  <si>
    <t>144000</t>
  </si>
  <si>
    <t>56000</t>
  </si>
  <si>
    <t>47000</t>
  </si>
  <si>
    <t>131000</t>
  </si>
  <si>
    <t>78000</t>
  </si>
  <si>
    <t>215000</t>
  </si>
  <si>
    <t>192000</t>
  </si>
  <si>
    <t>42000</t>
  </si>
  <si>
    <t>57000</t>
  </si>
  <si>
    <t>84000</t>
  </si>
  <si>
    <t>190000</t>
  </si>
  <si>
    <t>180000</t>
  </si>
  <si>
    <t>130000</t>
  </si>
  <si>
    <t>138000</t>
  </si>
  <si>
    <t>32000</t>
  </si>
  <si>
    <t>334000</t>
  </si>
  <si>
    <t>59000</t>
  </si>
  <si>
    <t>275000</t>
  </si>
  <si>
    <t>5000</t>
  </si>
  <si>
    <t>133000</t>
  </si>
  <si>
    <t>167000</t>
  </si>
  <si>
    <t>184000</t>
  </si>
  <si>
    <t>118000</t>
  </si>
  <si>
    <t>141000</t>
  </si>
  <si>
    <t>27000</t>
  </si>
  <si>
    <t>161000</t>
  </si>
  <si>
    <t>127000</t>
  </si>
  <si>
    <t>2000</t>
  </si>
  <si>
    <t>137000</t>
  </si>
  <si>
    <t>169000</t>
  </si>
  <si>
    <t>19000</t>
  </si>
  <si>
    <t>46000</t>
  </si>
  <si>
    <t>63000</t>
  </si>
  <si>
    <t>26000</t>
  </si>
  <si>
    <t>34000</t>
  </si>
  <si>
    <t>134000</t>
  </si>
  <si>
    <t>53000</t>
  </si>
  <si>
    <t>52000</t>
  </si>
  <si>
    <t>115000</t>
  </si>
  <si>
    <t>44000</t>
  </si>
  <si>
    <t>119000</t>
  </si>
  <si>
    <t>178000</t>
  </si>
  <si>
    <t>33000</t>
  </si>
  <si>
    <t>187000</t>
  </si>
  <si>
    <t>129000</t>
  </si>
  <si>
    <t>156000</t>
  </si>
  <si>
    <t>35000</t>
  </si>
  <si>
    <t>146000</t>
  </si>
  <si>
    <t>159000</t>
  </si>
  <si>
    <t>185000</t>
  </si>
  <si>
    <t>113000</t>
  </si>
  <si>
    <t>125000</t>
  </si>
  <si>
    <t>13000</t>
  </si>
  <si>
    <t>160000</t>
  </si>
  <si>
    <t>24000</t>
  </si>
  <si>
    <t>121000</t>
  </si>
  <si>
    <t>37000</t>
  </si>
  <si>
    <t>87000</t>
  </si>
  <si>
    <t>162000</t>
  </si>
  <si>
    <t>41000</t>
  </si>
  <si>
    <t>105000</t>
  </si>
  <si>
    <t>55000</t>
  </si>
  <si>
    <t>14000</t>
  </si>
  <si>
    <t>204000</t>
  </si>
  <si>
    <t>28000</t>
  </si>
  <si>
    <t>114000</t>
  </si>
  <si>
    <t>86000</t>
  </si>
  <si>
    <t>149000</t>
  </si>
  <si>
    <t>123000</t>
  </si>
  <si>
    <t>107000</t>
  </si>
  <si>
    <t>183000</t>
  </si>
  <si>
    <t>213000</t>
  </si>
  <si>
    <t>Revenue(₦)</t>
  </si>
  <si>
    <t>Total Cost Price (₦)</t>
  </si>
  <si>
    <t>Profit (₦)</t>
  </si>
  <si>
    <t>Profit Margin</t>
  </si>
  <si>
    <t>Total customers: 210</t>
  </si>
  <si>
    <t>Grand Total</t>
  </si>
  <si>
    <t>Count of Customer Name</t>
  </si>
  <si>
    <t>Row Labels</t>
  </si>
  <si>
    <t>Sum of Quantity</t>
  </si>
  <si>
    <t>Sum of Revenue(₦)</t>
  </si>
  <si>
    <t>Sum of Profit (₦)</t>
  </si>
  <si>
    <t>Qtr1</t>
  </si>
  <si>
    <t>Qtr2</t>
  </si>
  <si>
    <t>Qtr3</t>
  </si>
  <si>
    <t>Qtr4</t>
  </si>
  <si>
    <t>Count of Wig Purchased</t>
  </si>
  <si>
    <t>Total Customers</t>
  </si>
  <si>
    <t>Total Wig Sold</t>
  </si>
  <si>
    <t>Total Revenue Made</t>
  </si>
  <si>
    <t>Total Profit Made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</si>
</sst>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quot;₦&quot;* #,##0.00_-;_-&quot;₦&quot;* &quot;-&quot;??_-;_-@_-"/>
    <numFmt numFmtId="164" formatCode="yyyy\-mm\-dd\ hh:mm:ss"/>
    <numFmt numFmtId="165" formatCode="&quot;₦&quot;#,##0.00"/>
  </numFmts>
  <fonts count="5" x14ac:knownFonts="1">
    <font>
      <sz val="11"/>
      <color theme="1"/>
      <name val="Calibri"/>
      <family val="2"/>
      <scheme val="minor"/>
    </font>
    <font>
      <b/>
      <sz val="11"/>
      <name val="Calibri"/>
    </font>
    <font>
      <b/>
      <sz val="11"/>
      <name val="Calibri"/>
      <family val="2"/>
    </font>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9" fontId="3" fillId="0" borderId="0" applyFont="0" applyFill="0" applyBorder="0" applyAlignment="0" applyProtection="0"/>
  </cellStyleXfs>
  <cellXfs count="16">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164" fontId="0" fillId="0" borderId="0" xfId="0" applyNumberFormat="1"/>
    <xf numFmtId="14" fontId="0" fillId="0" borderId="0" xfId="0" applyNumberFormat="1"/>
    <xf numFmtId="44" fontId="0" fillId="0" borderId="0" xfId="0" applyNumberFormat="1"/>
    <xf numFmtId="44" fontId="2" fillId="0" borderId="1" xfId="0" applyNumberFormat="1" applyFont="1" applyBorder="1" applyAlignment="1">
      <alignment horizontal="center" vertical="top" wrapText="1"/>
    </xf>
    <xf numFmtId="0" fontId="2" fillId="0" borderId="1" xfId="0" applyFont="1" applyBorder="1" applyAlignment="1">
      <alignment horizontal="center" vertical="top" wrapText="1"/>
    </xf>
    <xf numFmtId="9" fontId="0" fillId="0" borderId="0" xfId="1" applyFont="1"/>
    <xf numFmtId="0" fontId="0" fillId="0" borderId="0" xfId="0" pivotButton="1"/>
    <xf numFmtId="0" fontId="0" fillId="0" borderId="0" xfId="0" applyNumberFormat="1"/>
    <xf numFmtId="0" fontId="0" fillId="0" borderId="0" xfId="0" applyAlignment="1">
      <alignment horizontal="left"/>
    </xf>
    <xf numFmtId="14" fontId="2" fillId="0" borderId="1" xfId="0" applyNumberFormat="1" applyFont="1" applyBorder="1" applyAlignment="1">
      <alignment horizontal="center" vertical="top" wrapText="1"/>
    </xf>
    <xf numFmtId="0" fontId="4" fillId="0" borderId="0" xfId="0" applyFont="1"/>
    <xf numFmtId="165" fontId="0" fillId="0" borderId="0" xfId="0" applyNumberFormat="1"/>
    <xf numFmtId="0" fontId="0" fillId="2" borderId="0" xfId="0" applyFill="1"/>
  </cellXfs>
  <cellStyles count="2">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07/relationships/slicerCache" Target="slicerCaches/slicerCach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4.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[Marys_Salon_Wig_Sales_Dataset.xlsx]Pivot Tables!PivotTable2</c:name>
    <c:fmtId val="2"/>
  </c:pivotSource>
  <c:chart>
    <c:autoTitleDeleted val="1"/>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'Pivot Tables'!$B$10</c:f>
              <c:strCache>
                <c:ptCount val="1"/>
                <c:pt idx="0">
                  <c:v>Total</c:v>
                </c:pt>
              </c:strCache>
            </c:strRef>
          </c:tx>
          <c:spPr>
            <a:solidFill>
              <a:schemeClr val="accent1"/>
            </a:solidFill>
            <a:ln>
              <a:noFill/>
            </a:ln>
            <a:effectLst/>
          </c:spPr>
          <c:invertIfNegative val="0"/>
          <c:cat>
            <c:strRef>
              <c:f>'Pivot Tables'!$A$11:$A$18</c:f>
              <c:strCache>
                <c:ptCount val="7"/>
                <c:pt idx="0">
                  <c:v>Bone Straight</c:v>
                </c:pt>
                <c:pt idx="1">
                  <c:v>Synthetic Hair</c:v>
                </c:pt>
                <c:pt idx="2">
                  <c:v>Blend Wig</c:v>
                </c:pt>
                <c:pt idx="3">
                  <c:v>Braided Wig</c:v>
                </c:pt>
                <c:pt idx="4">
                  <c:v>Machine Made Wig</c:v>
                </c:pt>
                <c:pt idx="5">
                  <c:v>Human Hair</c:v>
                </c:pt>
                <c:pt idx="6">
                  <c:v>Closure Wig</c:v>
                </c:pt>
              </c:strCache>
            </c:strRef>
          </c:cat>
          <c:val>
            <c:numRef>
              <c:f>'Pivot Tables'!$B$11:$B$18</c:f>
              <c:numCache>
                <c:formatCode>General</c:formatCode>
                <c:ptCount val="7"/>
                <c:pt idx="0">
                  <c:v>17</c:v>
                </c:pt>
                <c:pt idx="1">
                  <c:v>17</c:v>
                </c:pt>
                <c:pt idx="2">
                  <c:v>22</c:v>
                </c:pt>
                <c:pt idx="3">
                  <c:v>25</c:v>
                </c:pt>
                <c:pt idx="4">
                  <c:v>25</c:v>
                </c:pt>
                <c:pt idx="5">
                  <c:v>28</c:v>
                </c:pt>
                <c:pt idx="6">
                  <c:v>38</c:v>
                </c:pt>
              </c:numCache>
            </c:numRef>
          </c:val>
          <c:extLst>
            <c:ext xmlns:c16="http://schemas.microsoft.com/office/drawing/2014/chart" uri="{C3380CC4-5D6E-409C-BE32-E72D297353CC}">
              <c16:uniqueId val="{00000000-0C38-462F-B414-B5197A5CFE73}"/>
            </c:ext>
          </c:extLst>
        </c:ser>
        <c:dLbls>
          <c:showLegendKey val="0"/>
          <c:showVal val="0"/>
          <c:showCatName val="0"/>
          <c:showSerName val="0"/>
          <c:showPercent val="0"/>
          <c:showBubbleSize val="0"/>
        </c:dLbls>
        <c:gapWidth val="182"/>
        <c:axId val="1432189952"/>
        <c:axId val="1295333264"/>
      </c:barChart>
      <c:catAx>
        <c:axId val="143218995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295333264"/>
        <c:crosses val="autoZero"/>
        <c:auto val="1"/>
        <c:lblAlgn val="ctr"/>
        <c:lblOffset val="100"/>
        <c:noMultiLvlLbl val="0"/>
      </c:catAx>
      <c:valAx>
        <c:axId val="1295333264"/>
        <c:scaling>
          <c:orientation val="minMax"/>
          <c:max val="40"/>
          <c:min val="0"/>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321899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[Marys_Salon_Wig_Sales_Dataset.xlsx]Pivot Tables!PivotTable3</c:name>
    <c:fmtId val="2"/>
  </c:pivotSource>
  <c:chart>
    <c:autoTitleDeleted val="1"/>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'Pivot Tables'!$E$3</c:f>
              <c:strCache>
                <c:ptCount val="1"/>
                <c:pt idx="0">
                  <c:v>Total</c:v>
                </c:pt>
              </c:strCache>
            </c:strRef>
          </c:tx>
          <c:spPr>
            <a:solidFill>
              <a:schemeClr val="accent1"/>
            </a:solidFill>
            <a:ln>
              <a:noFill/>
            </a:ln>
            <a:effectLst/>
          </c:spPr>
          <c:invertIfNegative val="0"/>
          <c:cat>
            <c:strRef>
              <c:f>'Pivot Tables'!$D$4:$D$11</c:f>
              <c:strCache>
                <c:ptCount val="7"/>
                <c:pt idx="0">
                  <c:v>360 Lace Wig</c:v>
                </c:pt>
                <c:pt idx="1">
                  <c:v>Bone Straight</c:v>
                </c:pt>
                <c:pt idx="2">
                  <c:v>Braided Wig</c:v>
                </c:pt>
                <c:pt idx="3">
                  <c:v>Full Lace Wig</c:v>
                </c:pt>
                <c:pt idx="4">
                  <c:v>Hd Lace Front Wig</c:v>
                </c:pt>
                <c:pt idx="5">
                  <c:v>Human Hair</c:v>
                </c:pt>
                <c:pt idx="6">
                  <c:v>Closure Wig</c:v>
                </c:pt>
              </c:strCache>
            </c:strRef>
          </c:cat>
          <c:val>
            <c:numRef>
              <c:f>'Pivot Tables'!$E$4:$E$11</c:f>
              <c:numCache>
                <c:formatCode>General</c:formatCode>
                <c:ptCount val="7"/>
                <c:pt idx="0">
                  <c:v>1507000</c:v>
                </c:pt>
                <c:pt idx="1">
                  <c:v>1692000</c:v>
                </c:pt>
                <c:pt idx="2">
                  <c:v>1733000</c:v>
                </c:pt>
                <c:pt idx="3">
                  <c:v>2941000</c:v>
                </c:pt>
                <c:pt idx="4">
                  <c:v>3076000</c:v>
                </c:pt>
                <c:pt idx="5">
                  <c:v>5040000</c:v>
                </c:pt>
                <c:pt idx="6">
                  <c:v>5132000</c:v>
                </c:pt>
              </c:numCache>
            </c:numRef>
          </c:val>
          <c:extLst>
            <c:ext xmlns:c16="http://schemas.microsoft.com/office/drawing/2014/chart" uri="{C3380CC4-5D6E-409C-BE32-E72D297353CC}">
              <c16:uniqueId val="{00000000-C548-49FB-9C72-451278552957}"/>
            </c:ext>
          </c:extLst>
        </c:ser>
        <c:dLbls>
          <c:showLegendKey val="0"/>
          <c:showVal val="0"/>
          <c:showCatName val="0"/>
          <c:showSerName val="0"/>
          <c:showPercent val="0"/>
          <c:showBubbleSize val="0"/>
        </c:dLbls>
        <c:gapWidth val="182"/>
        <c:axId val="1391957984"/>
        <c:axId val="1643792592"/>
      </c:barChart>
      <c:catAx>
        <c:axId val="13919579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643792592"/>
        <c:crosses val="autoZero"/>
        <c:auto val="1"/>
        <c:lblAlgn val="ctr"/>
        <c:lblOffset val="100"/>
        <c:noMultiLvlLbl val="0"/>
      </c:catAx>
      <c:valAx>
        <c:axId val="16437925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3919579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[Marys_Salon_Wig_Sales_Dataset.xlsx]Pivot Tables!PivotTable4</c:name>
    <c:fmtId val="7"/>
  </c:pivotSource>
  <c:chart>
    <c:autoTitleDeleted val="1"/>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'Pivot Tables'!$H$3</c:f>
              <c:strCache>
                <c:ptCount val="1"/>
                <c:pt idx="0">
                  <c:v>Total</c:v>
                </c:pt>
              </c:strCache>
            </c:strRef>
          </c:tx>
          <c:spPr>
            <a:solidFill>
              <a:schemeClr val="accent1"/>
            </a:solidFill>
            <a:ln>
              <a:noFill/>
            </a:ln>
            <a:effectLst/>
          </c:spPr>
          <c:invertIfNegative val="0"/>
          <c:cat>
            <c:strRef>
              <c:f>'Pivot Tables'!$G$4:$G$11</c:f>
              <c:strCache>
                <c:ptCount val="7"/>
                <c:pt idx="0">
                  <c:v>360 Lace Wig</c:v>
                </c:pt>
                <c:pt idx="1">
                  <c:v>Braided Wig</c:v>
                </c:pt>
                <c:pt idx="2">
                  <c:v>Bone Straight</c:v>
                </c:pt>
                <c:pt idx="3">
                  <c:v>Full Lace Wig</c:v>
                </c:pt>
                <c:pt idx="4">
                  <c:v>Hd Lace Front Wig</c:v>
                </c:pt>
                <c:pt idx="5">
                  <c:v>Closure Wig</c:v>
                </c:pt>
                <c:pt idx="6">
                  <c:v>Human Hair</c:v>
                </c:pt>
              </c:strCache>
            </c:strRef>
          </c:cat>
          <c:val>
            <c:numRef>
              <c:f>'Pivot Tables'!$H$4:$H$11</c:f>
              <c:numCache>
                <c:formatCode>General</c:formatCode>
                <c:ptCount val="7"/>
                <c:pt idx="0">
                  <c:v>562000</c:v>
                </c:pt>
                <c:pt idx="1">
                  <c:v>605000</c:v>
                </c:pt>
                <c:pt idx="2">
                  <c:v>609000</c:v>
                </c:pt>
                <c:pt idx="3">
                  <c:v>1073000</c:v>
                </c:pt>
                <c:pt idx="4">
                  <c:v>1076000</c:v>
                </c:pt>
                <c:pt idx="5">
                  <c:v>1766000</c:v>
                </c:pt>
                <c:pt idx="6">
                  <c:v>1960000</c:v>
                </c:pt>
              </c:numCache>
            </c:numRef>
          </c:val>
          <c:extLst>
            <c:ext xmlns:c16="http://schemas.microsoft.com/office/drawing/2014/chart" uri="{C3380CC4-5D6E-409C-BE32-E72D297353CC}">
              <c16:uniqueId val="{00000000-4474-4E0A-B593-F925E6546991}"/>
            </c:ext>
          </c:extLst>
        </c:ser>
        <c:dLbls>
          <c:showLegendKey val="0"/>
          <c:showVal val="0"/>
          <c:showCatName val="0"/>
          <c:showSerName val="0"/>
          <c:showPercent val="0"/>
          <c:showBubbleSize val="0"/>
        </c:dLbls>
        <c:gapWidth val="182"/>
        <c:axId val="1632671456"/>
        <c:axId val="1641421120"/>
      </c:barChart>
      <c:catAx>
        <c:axId val="16326714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641421120"/>
        <c:crosses val="autoZero"/>
        <c:auto val="1"/>
        <c:lblAlgn val="ctr"/>
        <c:lblOffset val="100"/>
        <c:noMultiLvlLbl val="0"/>
      </c:catAx>
      <c:valAx>
        <c:axId val="16414211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6326714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[Marys_Salon_Wig_Sales_Dataset.xlsx]Pivot Tables!PivotTable5</c:name>
    <c:fmtId val="17"/>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'Pivot Tables'!$K$3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Tables'!$J$4:$J$8</c:f>
              <c:strCache>
                <c:ptCount val="4"/>
                <c:pt idx="0">
                  <c:v>Qtr1</c:v>
                </c:pt>
                <c:pt idx="1">
                  <c:v>Qtr2</c:v>
                </c:pt>
                <c:pt idx="2">
                  <c:v>Qtr3</c:v>
                </c:pt>
                <c:pt idx="3">
                  <c:v>Qtr4</c:v>
                </c:pt>
              </c:strCache>
            </c:strRef>
          </c:cat>
          <c:val>
            <c:numRef>
              <c:f>'Pivot Tables'!$K$4:$K$8</c:f>
              <c:numCache>
                <c:formatCode>General</c:formatCode>
                <c:ptCount val="4"/>
                <c:pt idx="0">
                  <c:v>6765000</c:v>
                </c:pt>
                <c:pt idx="1">
                  <c:v>11202000</c:v>
                </c:pt>
                <c:pt idx="2">
                  <c:v>7130000</c:v>
                </c:pt>
                <c:pt idx="3">
                  <c:v>5030000</c:v>
                </c:pt>
              </c:numCache>
            </c:numRef>
          </c:val>
          <c:smooth val="0"/>
          <c:extLst>
            <c:ext xmlns:c16="http://schemas.microsoft.com/office/drawing/2014/chart" uri="{C3380CC4-5D6E-409C-BE32-E72D297353CC}">
              <c16:uniqueId val="{00000000-8DCF-40CC-BF72-43BF632D46B7}"/>
            </c:ext>
          </c:extLst>
        </c:ser>
        <c:dLbls>
          <c:showLegendKey val="0"/>
          <c:showVal val="0"/>
          <c:showCatName val="0"/>
          <c:showSerName val="0"/>
          <c:showPercent val="0"/>
          <c:showBubbleSize val="0"/>
        </c:dLbls>
        <c:marker val="1"/>
        <c:smooth val="0"/>
        <c:axId val="2038017312"/>
        <c:axId val="1905874048"/>
      </c:lineChart>
      <c:catAx>
        <c:axId val="2038017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905874048"/>
        <c:crosses val="autoZero"/>
        <c:auto val="1"/>
        <c:lblAlgn val="ctr"/>
        <c:lblOffset val="100"/>
        <c:noMultiLvlLbl val="0"/>
      </c:catAx>
      <c:valAx>
        <c:axId val="19058740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0380173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[Marys_Salon_Wig_Sales_Dataset.xlsx]Pivot Tables!PivotTable2</c:name>
    <c:fmtId val="4"/>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Tables'!$A$11:$A$18</c:f>
              <c:strCache>
                <c:ptCount val="7"/>
                <c:pt idx="0">
                  <c:v>Bone Straight</c:v>
                </c:pt>
                <c:pt idx="1">
                  <c:v>Synthetic Hair</c:v>
                </c:pt>
                <c:pt idx="2">
                  <c:v>Blend Wig</c:v>
                </c:pt>
                <c:pt idx="3">
                  <c:v>Braided Wig</c:v>
                </c:pt>
                <c:pt idx="4">
                  <c:v>Machine Made Wig</c:v>
                </c:pt>
                <c:pt idx="5">
                  <c:v>Human Hair</c:v>
                </c:pt>
                <c:pt idx="6">
                  <c:v>Closure Wig</c:v>
                </c:pt>
              </c:strCache>
            </c:strRef>
          </c:cat>
          <c:val>
            <c:numRef>
              <c:f>'Pivot Tables'!$B$11:$B$18</c:f>
              <c:numCache>
                <c:formatCode>General</c:formatCode>
                <c:ptCount val="7"/>
                <c:pt idx="0">
                  <c:v>17</c:v>
                </c:pt>
                <c:pt idx="1">
                  <c:v>17</c:v>
                </c:pt>
                <c:pt idx="2">
                  <c:v>22</c:v>
                </c:pt>
                <c:pt idx="3">
                  <c:v>25</c:v>
                </c:pt>
                <c:pt idx="4">
                  <c:v>25</c:v>
                </c:pt>
                <c:pt idx="5">
                  <c:v>28</c:v>
                </c:pt>
                <c:pt idx="6">
                  <c:v>38</c:v>
                </c:pt>
              </c:numCache>
            </c:numRef>
          </c:val>
          <c:extLst>
            <c:ext xmlns:c16="http://schemas.microsoft.com/office/drawing/2014/chart" uri="{C3380CC4-5D6E-409C-BE32-E72D297353CC}">
              <c16:uniqueId val="{00000000-0BB1-4868-ACEB-560F5FF6F79C}"/>
            </c:ext>
          </c:extLst>
        </c:ser>
        <c:dLbls>
          <c:dLblPos val="outEnd"/>
          <c:showLegendKey val="0"/>
          <c:showVal val="1"/>
          <c:showCatName val="0"/>
          <c:showSerName val="0"/>
          <c:showPercent val="0"/>
          <c:showBubbleSize val="0"/>
        </c:dLbls>
        <c:gapWidth val="182"/>
        <c:axId val="1432189952"/>
        <c:axId val="1295333264"/>
      </c:barChart>
      <c:catAx>
        <c:axId val="143218995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295333264"/>
        <c:crosses val="autoZero"/>
        <c:auto val="1"/>
        <c:lblAlgn val="ctr"/>
        <c:lblOffset val="100"/>
        <c:noMultiLvlLbl val="0"/>
      </c:catAx>
      <c:valAx>
        <c:axId val="1295333264"/>
        <c:scaling>
          <c:orientation val="minMax"/>
          <c:max val="40"/>
          <c:min val="0"/>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321899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[Marys_Salon_Wig_Sales_Dataset.xlsx]Pivot Tables!PivotTable3</c:name>
    <c:fmtId val="4"/>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Tables'!$E$3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Tables'!$D$4:$D$11</c:f>
              <c:strCache>
                <c:ptCount val="7"/>
                <c:pt idx="0">
                  <c:v>360 Lace Wig</c:v>
                </c:pt>
                <c:pt idx="1">
                  <c:v>Bone Straight</c:v>
                </c:pt>
                <c:pt idx="2">
                  <c:v>Braided Wig</c:v>
                </c:pt>
                <c:pt idx="3">
                  <c:v>Full Lace Wig</c:v>
                </c:pt>
                <c:pt idx="4">
                  <c:v>Hd Lace Front Wig</c:v>
                </c:pt>
                <c:pt idx="5">
                  <c:v>Human Hair</c:v>
                </c:pt>
                <c:pt idx="6">
                  <c:v>Closure Wig</c:v>
                </c:pt>
              </c:strCache>
            </c:strRef>
          </c:cat>
          <c:val>
            <c:numRef>
              <c:f>'Pivot Tables'!$E$4:$E$11</c:f>
              <c:numCache>
                <c:formatCode>General</c:formatCode>
                <c:ptCount val="7"/>
                <c:pt idx="0">
                  <c:v>1507000</c:v>
                </c:pt>
                <c:pt idx="1">
                  <c:v>1692000</c:v>
                </c:pt>
                <c:pt idx="2">
                  <c:v>1733000</c:v>
                </c:pt>
                <c:pt idx="3">
                  <c:v>2941000</c:v>
                </c:pt>
                <c:pt idx="4">
                  <c:v>3076000</c:v>
                </c:pt>
                <c:pt idx="5">
                  <c:v>5040000</c:v>
                </c:pt>
                <c:pt idx="6">
                  <c:v>5132000</c:v>
                </c:pt>
              </c:numCache>
            </c:numRef>
          </c:val>
          <c:extLst>
            <c:ext xmlns:c16="http://schemas.microsoft.com/office/drawing/2014/chart" uri="{C3380CC4-5D6E-409C-BE32-E72D297353CC}">
              <c16:uniqueId val="{00000000-8B30-485A-B39E-A827B9D7CD48}"/>
            </c:ext>
          </c:extLst>
        </c:ser>
        <c:dLbls>
          <c:dLblPos val="outEnd"/>
          <c:showLegendKey val="0"/>
          <c:showVal val="1"/>
          <c:showCatName val="0"/>
          <c:showSerName val="0"/>
          <c:showPercent val="0"/>
          <c:showBubbleSize val="0"/>
        </c:dLbls>
        <c:gapWidth val="182"/>
        <c:axId val="1391957984"/>
        <c:axId val="1643792592"/>
      </c:barChart>
      <c:catAx>
        <c:axId val="13919579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643792592"/>
        <c:crosses val="autoZero"/>
        <c:auto val="1"/>
        <c:lblAlgn val="ctr"/>
        <c:lblOffset val="100"/>
        <c:noMultiLvlLbl val="0"/>
      </c:catAx>
      <c:valAx>
        <c:axId val="16437925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3919579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[Marys_Salon_Wig_Sales_Dataset.xlsx]Pivot Tables!PivotTable4</c:name>
    <c:fmtId val="9"/>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Tables'!$H$3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Tables'!$G$4:$G$11</c:f>
              <c:strCache>
                <c:ptCount val="7"/>
                <c:pt idx="0">
                  <c:v>360 Lace Wig</c:v>
                </c:pt>
                <c:pt idx="1">
                  <c:v>Braided Wig</c:v>
                </c:pt>
                <c:pt idx="2">
                  <c:v>Bone Straight</c:v>
                </c:pt>
                <c:pt idx="3">
                  <c:v>Full Lace Wig</c:v>
                </c:pt>
                <c:pt idx="4">
                  <c:v>Hd Lace Front Wig</c:v>
                </c:pt>
                <c:pt idx="5">
                  <c:v>Closure Wig</c:v>
                </c:pt>
                <c:pt idx="6">
                  <c:v>Human Hair</c:v>
                </c:pt>
              </c:strCache>
            </c:strRef>
          </c:cat>
          <c:val>
            <c:numRef>
              <c:f>'Pivot Tables'!$H$4:$H$11</c:f>
              <c:numCache>
                <c:formatCode>General</c:formatCode>
                <c:ptCount val="7"/>
                <c:pt idx="0">
                  <c:v>562000</c:v>
                </c:pt>
                <c:pt idx="1">
                  <c:v>605000</c:v>
                </c:pt>
                <c:pt idx="2">
                  <c:v>609000</c:v>
                </c:pt>
                <c:pt idx="3">
                  <c:v>1073000</c:v>
                </c:pt>
                <c:pt idx="4">
                  <c:v>1076000</c:v>
                </c:pt>
                <c:pt idx="5">
                  <c:v>1766000</c:v>
                </c:pt>
                <c:pt idx="6">
                  <c:v>1960000</c:v>
                </c:pt>
              </c:numCache>
            </c:numRef>
          </c:val>
          <c:extLst>
            <c:ext xmlns:c16="http://schemas.microsoft.com/office/drawing/2014/chart" uri="{C3380CC4-5D6E-409C-BE32-E72D297353CC}">
              <c16:uniqueId val="{00000000-B24F-4AE9-86DD-20F4168D9DAE}"/>
            </c:ext>
          </c:extLst>
        </c:ser>
        <c:dLbls>
          <c:dLblPos val="outEnd"/>
          <c:showLegendKey val="0"/>
          <c:showVal val="1"/>
          <c:showCatName val="0"/>
          <c:showSerName val="0"/>
          <c:showPercent val="0"/>
          <c:showBubbleSize val="0"/>
        </c:dLbls>
        <c:gapWidth val="182"/>
        <c:axId val="1632671456"/>
        <c:axId val="1641421120"/>
      </c:barChart>
      <c:catAx>
        <c:axId val="16326714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641421120"/>
        <c:crosses val="autoZero"/>
        <c:auto val="1"/>
        <c:lblAlgn val="ctr"/>
        <c:lblOffset val="100"/>
        <c:noMultiLvlLbl val="0"/>
      </c:catAx>
      <c:valAx>
        <c:axId val="16414211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6326714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[Marys_Salon_Wig_Sales_Dataset.xlsx]Pivot Tables!PivotTable5</c:name>
    <c:fmtId val="19"/>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'Pivot Tables'!$K$3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Tables'!$J$4:$J$8</c:f>
              <c:strCache>
                <c:ptCount val="4"/>
                <c:pt idx="0">
                  <c:v>Qtr1</c:v>
                </c:pt>
                <c:pt idx="1">
                  <c:v>Qtr2</c:v>
                </c:pt>
                <c:pt idx="2">
                  <c:v>Qtr3</c:v>
                </c:pt>
                <c:pt idx="3">
                  <c:v>Qtr4</c:v>
                </c:pt>
              </c:strCache>
            </c:strRef>
          </c:cat>
          <c:val>
            <c:numRef>
              <c:f>'Pivot Tables'!$K$4:$K$8</c:f>
              <c:numCache>
                <c:formatCode>General</c:formatCode>
                <c:ptCount val="4"/>
                <c:pt idx="0">
                  <c:v>6765000</c:v>
                </c:pt>
                <c:pt idx="1">
                  <c:v>11202000</c:v>
                </c:pt>
                <c:pt idx="2">
                  <c:v>7130000</c:v>
                </c:pt>
                <c:pt idx="3">
                  <c:v>5030000</c:v>
                </c:pt>
              </c:numCache>
            </c:numRef>
          </c:val>
          <c:smooth val="0"/>
          <c:extLst>
            <c:ext xmlns:c16="http://schemas.microsoft.com/office/drawing/2014/chart" uri="{C3380CC4-5D6E-409C-BE32-E72D297353CC}">
              <c16:uniqueId val="{00000000-E845-4519-8B92-8DF4939BAE31}"/>
            </c:ext>
          </c:extLst>
        </c:ser>
        <c:dLbls>
          <c:showLegendKey val="0"/>
          <c:showVal val="0"/>
          <c:showCatName val="0"/>
          <c:showSerName val="0"/>
          <c:showPercent val="0"/>
          <c:showBubbleSize val="0"/>
        </c:dLbls>
        <c:marker val="1"/>
        <c:smooth val="0"/>
        <c:axId val="2038017312"/>
        <c:axId val="1905874048"/>
      </c:lineChart>
      <c:catAx>
        <c:axId val="2038017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905874048"/>
        <c:crosses val="autoZero"/>
        <c:auto val="1"/>
        <c:lblAlgn val="ctr"/>
        <c:lblOffset val="100"/>
        <c:noMultiLvlLbl val="0"/>
      </c:catAx>
      <c:valAx>
        <c:axId val="19058740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0380173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167640</xdr:colOff>
      <xdr:row>24</xdr:row>
      <xdr:rowOff>30480</xdr:rowOff>
    </xdr:from>
    <xdr:to>
      <xdr:col>4</xdr:col>
      <xdr:colOff>198120</xdr:colOff>
      <xdr:row>31</xdr:row>
      <xdr:rowOff>137160</xdr:rowOff>
    </xdr:to>
    <xdr:graphicFrame macro="">
      <xdr:nvGraphicFramePr>
        <xdr:cNvPr id="2" name="Chart 1">
          <a:extLst>
            <a:ext uri="{FF2B5EF4-FFF2-40B4-BE49-F238E27FC236}">
              <a16:creationId xmlns:a16="http://schemas.microsoft.com/office/drawing/2014/main" id="{766609A4-258D-4DAA-8C59-6DA4A47901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289560</xdr:colOff>
      <xdr:row>24</xdr:row>
      <xdr:rowOff>106680</xdr:rowOff>
    </xdr:from>
    <xdr:to>
      <xdr:col>5</xdr:col>
      <xdr:colOff>1196340</xdr:colOff>
      <xdr:row>31</xdr:row>
      <xdr:rowOff>114300</xdr:rowOff>
    </xdr:to>
    <xdr:graphicFrame macro="">
      <xdr:nvGraphicFramePr>
        <xdr:cNvPr id="3" name="Chart 2">
          <a:extLst>
            <a:ext uri="{FF2B5EF4-FFF2-40B4-BE49-F238E27FC236}">
              <a16:creationId xmlns:a16="http://schemas.microsoft.com/office/drawing/2014/main" id="{20BB5E93-B944-41B2-816F-30B55108E0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137160</xdr:colOff>
      <xdr:row>24</xdr:row>
      <xdr:rowOff>144780</xdr:rowOff>
    </xdr:from>
    <xdr:to>
      <xdr:col>8</xdr:col>
      <xdr:colOff>350520</xdr:colOff>
      <xdr:row>30</xdr:row>
      <xdr:rowOff>114300</xdr:rowOff>
    </xdr:to>
    <xdr:graphicFrame macro="">
      <xdr:nvGraphicFramePr>
        <xdr:cNvPr id="4" name="Chart 3">
          <a:extLst>
            <a:ext uri="{FF2B5EF4-FFF2-40B4-BE49-F238E27FC236}">
              <a16:creationId xmlns:a16="http://schemas.microsoft.com/office/drawing/2014/main" id="{467463F1-8238-46C7-9283-19555485F3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685800</xdr:colOff>
      <xdr:row>24</xdr:row>
      <xdr:rowOff>38100</xdr:rowOff>
    </xdr:from>
    <xdr:to>
      <xdr:col>10</xdr:col>
      <xdr:colOff>952500</xdr:colOff>
      <xdr:row>30</xdr:row>
      <xdr:rowOff>175260</xdr:rowOff>
    </xdr:to>
    <xdr:graphicFrame macro="">
      <xdr:nvGraphicFramePr>
        <xdr:cNvPr id="5" name="Chart 4">
          <a:extLst>
            <a:ext uri="{FF2B5EF4-FFF2-40B4-BE49-F238E27FC236}">
              <a16:creationId xmlns:a16="http://schemas.microsoft.com/office/drawing/2014/main" id="{A959178D-A85A-4406-BE43-C6A39FA13C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342900</xdr:colOff>
      <xdr:row>0</xdr:row>
      <xdr:rowOff>175260</xdr:rowOff>
    </xdr:from>
    <xdr:to>
      <xdr:col>19</xdr:col>
      <xdr:colOff>556260</xdr:colOff>
      <xdr:row>4</xdr:row>
      <xdr:rowOff>129540</xdr:rowOff>
    </xdr:to>
    <xdr:sp macro="" textlink="">
      <xdr:nvSpPr>
        <xdr:cNvPr id="2" name="Rectangle 1">
          <a:extLst>
            <a:ext uri="{FF2B5EF4-FFF2-40B4-BE49-F238E27FC236}">
              <a16:creationId xmlns:a16="http://schemas.microsoft.com/office/drawing/2014/main" id="{FC5A69CD-EC66-49C5-B6F3-2CB6D21657AC}"/>
            </a:ext>
          </a:extLst>
        </xdr:cNvPr>
        <xdr:cNvSpPr/>
      </xdr:nvSpPr>
      <xdr:spPr>
        <a:xfrm>
          <a:off x="2758440" y="175260"/>
          <a:ext cx="11186160" cy="685800"/>
        </a:xfrm>
        <a:prstGeom prst="rect">
          <a:avLst/>
        </a:prstGeom>
        <a:solidFill>
          <a:srgbClr val="002060"/>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600" b="1"/>
            <a:t>Wig</a:t>
          </a:r>
          <a:r>
            <a:rPr lang="en-US" sz="3600" b="1" baseline="0"/>
            <a:t> sales and profit dashboard</a:t>
          </a:r>
          <a:endParaRPr lang="en-NG" sz="3600" b="1"/>
        </a:p>
      </xdr:txBody>
    </xdr:sp>
    <xdr:clientData/>
  </xdr:twoCellAnchor>
  <xdr:twoCellAnchor>
    <xdr:from>
      <xdr:col>7</xdr:col>
      <xdr:colOff>446475</xdr:colOff>
      <xdr:row>6</xdr:row>
      <xdr:rowOff>76200</xdr:rowOff>
    </xdr:from>
    <xdr:to>
      <xdr:col>10</xdr:col>
      <xdr:colOff>134055</xdr:colOff>
      <xdr:row>10</xdr:row>
      <xdr:rowOff>0</xdr:rowOff>
    </xdr:to>
    <xdr:sp macro="" textlink="">
      <xdr:nvSpPr>
        <xdr:cNvPr id="4" name="Rectangle 3">
          <a:extLst>
            <a:ext uri="{FF2B5EF4-FFF2-40B4-BE49-F238E27FC236}">
              <a16:creationId xmlns:a16="http://schemas.microsoft.com/office/drawing/2014/main" id="{8B503ADF-B062-469B-8F8C-82E6C251C078}"/>
            </a:ext>
          </a:extLst>
        </xdr:cNvPr>
        <xdr:cNvSpPr/>
      </xdr:nvSpPr>
      <xdr:spPr>
        <a:xfrm>
          <a:off x="4552808" y="1193800"/>
          <a:ext cx="1516380" cy="668867"/>
        </a:xfrm>
        <a:prstGeom prst="rect">
          <a:avLst/>
        </a:prstGeom>
        <a:solidFill>
          <a:schemeClr val="tx2">
            <a:lumMod val="40000"/>
            <a:lumOff val="6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latin typeface="Arial Black" panose="020B0A04020102020204" pitchFamily="34" charset="0"/>
            </a:rPr>
            <a:t>Total Wig Sold</a:t>
          </a:r>
          <a:endParaRPr lang="en-NG" sz="1200">
            <a:latin typeface="Arial Black" panose="020B0A04020102020204" pitchFamily="34" charset="0"/>
          </a:endParaRPr>
        </a:p>
      </xdr:txBody>
    </xdr:sp>
    <xdr:clientData/>
  </xdr:twoCellAnchor>
  <xdr:twoCellAnchor>
    <xdr:from>
      <xdr:col>12</xdr:col>
      <xdr:colOff>383257</xdr:colOff>
      <xdr:row>6</xdr:row>
      <xdr:rowOff>38100</xdr:rowOff>
    </xdr:from>
    <xdr:to>
      <xdr:col>15</xdr:col>
      <xdr:colOff>70837</xdr:colOff>
      <xdr:row>9</xdr:row>
      <xdr:rowOff>144780</xdr:rowOff>
    </xdr:to>
    <xdr:sp macro="" textlink="">
      <xdr:nvSpPr>
        <xdr:cNvPr id="5" name="Rectangle 4">
          <a:extLst>
            <a:ext uri="{FF2B5EF4-FFF2-40B4-BE49-F238E27FC236}">
              <a16:creationId xmlns:a16="http://schemas.microsoft.com/office/drawing/2014/main" id="{63AC0113-9A27-4A29-9163-AB6A44693339}"/>
            </a:ext>
          </a:extLst>
        </xdr:cNvPr>
        <xdr:cNvSpPr/>
      </xdr:nvSpPr>
      <xdr:spPr>
        <a:xfrm>
          <a:off x="7537590" y="1155700"/>
          <a:ext cx="1516380" cy="665480"/>
        </a:xfrm>
        <a:prstGeom prst="rect">
          <a:avLst/>
        </a:prstGeom>
        <a:solidFill>
          <a:schemeClr val="tx2">
            <a:lumMod val="40000"/>
            <a:lumOff val="6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0">
              <a:latin typeface="Arial Black" panose="020B0A04020102020204" pitchFamily="34" charset="0"/>
            </a:rPr>
            <a:t>Total Revenue</a:t>
          </a:r>
          <a:endParaRPr lang="en-NG" sz="1200" b="0">
            <a:latin typeface="Arial Black" panose="020B0A04020102020204" pitchFamily="34" charset="0"/>
          </a:endParaRPr>
        </a:p>
      </xdr:txBody>
    </xdr:sp>
    <xdr:clientData/>
  </xdr:twoCellAnchor>
  <xdr:twoCellAnchor>
    <xdr:from>
      <xdr:col>17</xdr:col>
      <xdr:colOff>320040</xdr:colOff>
      <xdr:row>6</xdr:row>
      <xdr:rowOff>38100</xdr:rowOff>
    </xdr:from>
    <xdr:to>
      <xdr:col>20</xdr:col>
      <xdr:colOff>7620</xdr:colOff>
      <xdr:row>9</xdr:row>
      <xdr:rowOff>144780</xdr:rowOff>
    </xdr:to>
    <xdr:sp macro="" textlink="">
      <xdr:nvSpPr>
        <xdr:cNvPr id="6" name="Rectangle 5">
          <a:extLst>
            <a:ext uri="{FF2B5EF4-FFF2-40B4-BE49-F238E27FC236}">
              <a16:creationId xmlns:a16="http://schemas.microsoft.com/office/drawing/2014/main" id="{4B421720-B5BB-46F6-B13E-AAA5170163C2}"/>
            </a:ext>
          </a:extLst>
        </xdr:cNvPr>
        <xdr:cNvSpPr/>
      </xdr:nvSpPr>
      <xdr:spPr>
        <a:xfrm>
          <a:off x="10522373" y="1155700"/>
          <a:ext cx="1516380" cy="665480"/>
        </a:xfrm>
        <a:prstGeom prst="rect">
          <a:avLst/>
        </a:prstGeom>
        <a:solidFill>
          <a:schemeClr val="tx2">
            <a:lumMod val="40000"/>
            <a:lumOff val="6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latin typeface="Arial Black" panose="020B0A04020102020204" pitchFamily="34" charset="0"/>
            </a:rPr>
            <a:t>Total Profit</a:t>
          </a:r>
          <a:endParaRPr lang="en-NG" sz="1200" b="1">
            <a:latin typeface="Arial Black" panose="020B0A04020102020204" pitchFamily="34" charset="0"/>
          </a:endParaRPr>
        </a:p>
      </xdr:txBody>
    </xdr:sp>
    <xdr:clientData/>
  </xdr:twoCellAnchor>
  <xdr:twoCellAnchor>
    <xdr:from>
      <xdr:col>1</xdr:col>
      <xdr:colOff>586740</xdr:colOff>
      <xdr:row>13</xdr:row>
      <xdr:rowOff>25401</xdr:rowOff>
    </xdr:from>
    <xdr:to>
      <xdr:col>8</xdr:col>
      <xdr:colOff>213360</xdr:colOff>
      <xdr:row>23</xdr:row>
      <xdr:rowOff>165948</xdr:rowOff>
    </xdr:to>
    <xdr:graphicFrame macro="">
      <xdr:nvGraphicFramePr>
        <xdr:cNvPr id="7" name="Chart 6">
          <a:extLst>
            <a:ext uri="{FF2B5EF4-FFF2-40B4-BE49-F238E27FC236}">
              <a16:creationId xmlns:a16="http://schemas.microsoft.com/office/drawing/2014/main" id="{3181EE73-4537-463B-94CE-C2D1E8B705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604520</xdr:colOff>
      <xdr:row>12</xdr:row>
      <xdr:rowOff>126153</xdr:rowOff>
    </xdr:from>
    <xdr:to>
      <xdr:col>16</xdr:col>
      <xdr:colOff>124460</xdr:colOff>
      <xdr:row>25</xdr:row>
      <xdr:rowOff>19472</xdr:rowOff>
    </xdr:to>
    <xdr:graphicFrame macro="">
      <xdr:nvGraphicFramePr>
        <xdr:cNvPr id="8" name="Chart 7">
          <a:extLst>
            <a:ext uri="{FF2B5EF4-FFF2-40B4-BE49-F238E27FC236}">
              <a16:creationId xmlns:a16="http://schemas.microsoft.com/office/drawing/2014/main" id="{B2624BCD-70FF-4F76-96E1-A2177BF97E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474132</xdr:colOff>
      <xdr:row>25</xdr:row>
      <xdr:rowOff>160867</xdr:rowOff>
    </xdr:from>
    <xdr:to>
      <xdr:col>9</xdr:col>
      <xdr:colOff>25399</xdr:colOff>
      <xdr:row>38</xdr:row>
      <xdr:rowOff>127001</xdr:rowOff>
    </xdr:to>
    <xdr:graphicFrame macro="">
      <xdr:nvGraphicFramePr>
        <xdr:cNvPr id="9" name="Chart 8">
          <a:extLst>
            <a:ext uri="{FF2B5EF4-FFF2-40B4-BE49-F238E27FC236}">
              <a16:creationId xmlns:a16="http://schemas.microsoft.com/office/drawing/2014/main" id="{4FE11E54-7049-4AD3-B7A6-AC3DFA275A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440266</xdr:colOff>
      <xdr:row>26</xdr:row>
      <xdr:rowOff>152400</xdr:rowOff>
    </xdr:from>
    <xdr:to>
      <xdr:col>15</xdr:col>
      <xdr:colOff>280246</xdr:colOff>
      <xdr:row>37</xdr:row>
      <xdr:rowOff>69426</xdr:rowOff>
    </xdr:to>
    <xdr:graphicFrame macro="">
      <xdr:nvGraphicFramePr>
        <xdr:cNvPr id="10" name="Chart 9">
          <a:extLst>
            <a:ext uri="{FF2B5EF4-FFF2-40B4-BE49-F238E27FC236}">
              <a16:creationId xmlns:a16="http://schemas.microsoft.com/office/drawing/2014/main" id="{2C66A651-1EFC-49D8-9ABC-B153B384CD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509692</xdr:colOff>
      <xdr:row>6</xdr:row>
      <xdr:rowOff>67733</xdr:rowOff>
    </xdr:from>
    <xdr:to>
      <xdr:col>5</xdr:col>
      <xdr:colOff>304799</xdr:colOff>
      <xdr:row>9</xdr:row>
      <xdr:rowOff>177800</xdr:rowOff>
    </xdr:to>
    <xdr:sp macro="" textlink="">
      <xdr:nvSpPr>
        <xdr:cNvPr id="13" name="Rectangle 12">
          <a:extLst>
            <a:ext uri="{FF2B5EF4-FFF2-40B4-BE49-F238E27FC236}">
              <a16:creationId xmlns:a16="http://schemas.microsoft.com/office/drawing/2014/main" id="{F17FF64F-269C-4B9C-9C05-903F039807A0}"/>
            </a:ext>
          </a:extLst>
        </xdr:cNvPr>
        <xdr:cNvSpPr/>
      </xdr:nvSpPr>
      <xdr:spPr>
        <a:xfrm>
          <a:off x="1568025" y="1185333"/>
          <a:ext cx="1623907" cy="668867"/>
        </a:xfrm>
        <a:prstGeom prst="rect">
          <a:avLst/>
        </a:prstGeom>
        <a:solidFill>
          <a:schemeClr val="tx2">
            <a:lumMod val="40000"/>
            <a:lumOff val="6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50" b="1">
              <a:latin typeface="Arial Black" panose="020B0A04020102020204" pitchFamily="34" charset="0"/>
            </a:rPr>
            <a:t>Total Transactions</a:t>
          </a:r>
          <a:endParaRPr lang="en-NG" sz="1050" b="1">
            <a:latin typeface="Arial Black" panose="020B0A04020102020204" pitchFamily="34" charset="0"/>
          </a:endParaRPr>
        </a:p>
      </xdr:txBody>
    </xdr:sp>
    <xdr:clientData/>
  </xdr:twoCellAnchor>
  <xdr:twoCellAnchor>
    <xdr:from>
      <xdr:col>3</xdr:col>
      <xdr:colOff>321733</xdr:colOff>
      <xdr:row>7</xdr:row>
      <xdr:rowOff>126999</xdr:rowOff>
    </xdr:from>
    <xdr:to>
      <xdr:col>5</xdr:col>
      <xdr:colOff>194733</xdr:colOff>
      <xdr:row>9</xdr:row>
      <xdr:rowOff>67733</xdr:rowOff>
    </xdr:to>
    <xdr:sp macro="" textlink="KPI!A8">
      <xdr:nvSpPr>
        <xdr:cNvPr id="14" name="TextBox 13">
          <a:extLst>
            <a:ext uri="{FF2B5EF4-FFF2-40B4-BE49-F238E27FC236}">
              <a16:creationId xmlns:a16="http://schemas.microsoft.com/office/drawing/2014/main" id="{F5910304-9BC2-49A8-821D-109F3E9FF654}"/>
            </a:ext>
          </a:extLst>
        </xdr:cNvPr>
        <xdr:cNvSpPr txBox="1"/>
      </xdr:nvSpPr>
      <xdr:spPr>
        <a:xfrm>
          <a:off x="1989666" y="1430866"/>
          <a:ext cx="1092200" cy="313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C91EEB5-AFBF-47EF-997D-8270B6FD7C7C}" type="TxLink">
            <a:rPr lang="en-US" sz="1400" b="0" i="0" u="none" strike="noStrike">
              <a:solidFill>
                <a:srgbClr val="000000"/>
              </a:solidFill>
              <a:latin typeface="Arial Black" panose="020B0A04020102020204" pitchFamily="34" charset="0"/>
              <a:cs typeface="Calibri"/>
            </a:rPr>
            <a:pPr/>
            <a:t>210</a:t>
          </a:fld>
          <a:endParaRPr lang="en-NG" sz="1400">
            <a:latin typeface="Arial Black" panose="020B0A04020102020204" pitchFamily="34" charset="0"/>
          </a:endParaRPr>
        </a:p>
      </xdr:txBody>
    </xdr:sp>
    <xdr:clientData/>
  </xdr:twoCellAnchor>
  <xdr:twoCellAnchor>
    <xdr:from>
      <xdr:col>8</xdr:col>
      <xdr:colOff>194733</xdr:colOff>
      <xdr:row>7</xdr:row>
      <xdr:rowOff>152399</xdr:rowOff>
    </xdr:from>
    <xdr:to>
      <xdr:col>10</xdr:col>
      <xdr:colOff>110066</xdr:colOff>
      <xdr:row>9</xdr:row>
      <xdr:rowOff>169333</xdr:rowOff>
    </xdr:to>
    <xdr:sp macro="" textlink="KPI!B8">
      <xdr:nvSpPr>
        <xdr:cNvPr id="15" name="TextBox 14">
          <a:extLst>
            <a:ext uri="{FF2B5EF4-FFF2-40B4-BE49-F238E27FC236}">
              <a16:creationId xmlns:a16="http://schemas.microsoft.com/office/drawing/2014/main" id="{A021A4E9-AFB1-411B-B7EF-C91A5C8FB37B}"/>
            </a:ext>
          </a:extLst>
        </xdr:cNvPr>
        <xdr:cNvSpPr txBox="1"/>
      </xdr:nvSpPr>
      <xdr:spPr>
        <a:xfrm>
          <a:off x="4910666" y="1456266"/>
          <a:ext cx="1134533" cy="3894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0196B8E-FC31-4212-9BB7-EEFAD6BAF5A3}" type="TxLink">
            <a:rPr lang="en-US" sz="1400" b="0" i="0" u="none" strike="noStrike">
              <a:solidFill>
                <a:srgbClr val="000000"/>
              </a:solidFill>
              <a:latin typeface="Arial Black" panose="020B0A04020102020204" pitchFamily="34" charset="0"/>
              <a:cs typeface="Calibri"/>
            </a:rPr>
            <a:pPr/>
            <a:t>210</a:t>
          </a:fld>
          <a:endParaRPr lang="en-NG" sz="1400">
            <a:latin typeface="Arial Black" panose="020B0A04020102020204" pitchFamily="34" charset="0"/>
          </a:endParaRPr>
        </a:p>
      </xdr:txBody>
    </xdr:sp>
    <xdr:clientData/>
  </xdr:twoCellAnchor>
  <xdr:twoCellAnchor>
    <xdr:from>
      <xdr:col>12</xdr:col>
      <xdr:colOff>474133</xdr:colOff>
      <xdr:row>7</xdr:row>
      <xdr:rowOff>118533</xdr:rowOff>
    </xdr:from>
    <xdr:to>
      <xdr:col>15</xdr:col>
      <xdr:colOff>33866</xdr:colOff>
      <xdr:row>9</xdr:row>
      <xdr:rowOff>135467</xdr:rowOff>
    </xdr:to>
    <xdr:sp macro="" textlink="KPI!C8">
      <xdr:nvSpPr>
        <xdr:cNvPr id="16" name="TextBox 15">
          <a:extLst>
            <a:ext uri="{FF2B5EF4-FFF2-40B4-BE49-F238E27FC236}">
              <a16:creationId xmlns:a16="http://schemas.microsoft.com/office/drawing/2014/main" id="{3A35FF14-5248-4C89-81C9-4FD314BC8EE4}"/>
            </a:ext>
          </a:extLst>
        </xdr:cNvPr>
        <xdr:cNvSpPr txBox="1"/>
      </xdr:nvSpPr>
      <xdr:spPr>
        <a:xfrm>
          <a:off x="7628466" y="1422400"/>
          <a:ext cx="1388533" cy="3894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F0F256B-BB6A-476A-89DB-3017C49F3C02}" type="TxLink">
            <a:rPr lang="en-US" sz="1400" b="0" i="0" u="none" strike="noStrike">
              <a:solidFill>
                <a:srgbClr val="000000"/>
              </a:solidFill>
              <a:latin typeface="Arial Black" panose="020B0A04020102020204" pitchFamily="34" charset="0"/>
              <a:cs typeface="Calibri"/>
            </a:rPr>
            <a:pPr/>
            <a:t>₦30,127,000.00</a:t>
          </a:fld>
          <a:endParaRPr lang="en-NG" sz="1400">
            <a:latin typeface="Arial Black" panose="020B0A04020102020204" pitchFamily="34" charset="0"/>
          </a:endParaRPr>
        </a:p>
      </xdr:txBody>
    </xdr:sp>
    <xdr:clientData/>
  </xdr:twoCellAnchor>
  <xdr:twoCellAnchor>
    <xdr:from>
      <xdr:col>17</xdr:col>
      <xdr:colOff>355600</xdr:colOff>
      <xdr:row>7</xdr:row>
      <xdr:rowOff>84666</xdr:rowOff>
    </xdr:from>
    <xdr:to>
      <xdr:col>19</xdr:col>
      <xdr:colOff>541867</xdr:colOff>
      <xdr:row>9</xdr:row>
      <xdr:rowOff>50800</xdr:rowOff>
    </xdr:to>
    <xdr:sp macro="" textlink="KPI!D8">
      <xdr:nvSpPr>
        <xdr:cNvPr id="17" name="TextBox 16">
          <a:extLst>
            <a:ext uri="{FF2B5EF4-FFF2-40B4-BE49-F238E27FC236}">
              <a16:creationId xmlns:a16="http://schemas.microsoft.com/office/drawing/2014/main" id="{65A9AB47-FAC7-4803-BE68-670E069D17A6}"/>
            </a:ext>
          </a:extLst>
        </xdr:cNvPr>
        <xdr:cNvSpPr txBox="1"/>
      </xdr:nvSpPr>
      <xdr:spPr>
        <a:xfrm>
          <a:off x="10557933" y="1388533"/>
          <a:ext cx="1405467" cy="3386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557199D-0280-4045-A0C6-177D57F8F7A2}" type="TxLink">
            <a:rPr lang="en-US" sz="1400" b="0" i="0" u="none" strike="noStrike">
              <a:solidFill>
                <a:srgbClr val="000000"/>
              </a:solidFill>
              <a:latin typeface="Arial Black" panose="020B0A04020102020204" pitchFamily="34" charset="0"/>
              <a:cs typeface="Calibri"/>
            </a:rPr>
            <a:pPr/>
            <a:t>₦10,745,000.00</a:t>
          </a:fld>
          <a:endParaRPr lang="en-NG" sz="1400">
            <a:latin typeface="Arial Black" panose="020B0A04020102020204" pitchFamily="34" charset="0"/>
          </a:endParaRPr>
        </a:p>
      </xdr:txBody>
    </xdr:sp>
    <xdr:clientData/>
  </xdr:twoCellAnchor>
  <xdr:twoCellAnchor editAs="oneCell">
    <xdr:from>
      <xdr:col>16</xdr:col>
      <xdr:colOff>457201</xdr:colOff>
      <xdr:row>11</xdr:row>
      <xdr:rowOff>110067</xdr:rowOff>
    </xdr:from>
    <xdr:to>
      <xdr:col>19</xdr:col>
      <xdr:colOff>491067</xdr:colOff>
      <xdr:row>23</xdr:row>
      <xdr:rowOff>161925</xdr:rowOff>
    </xdr:to>
    <mc:AlternateContent xmlns:mc="http://schemas.openxmlformats.org/markup-compatibility/2006" xmlns:a14="http://schemas.microsoft.com/office/drawing/2010/main">
      <mc:Choice Requires="a14">
        <xdr:graphicFrame macro="">
          <xdr:nvGraphicFramePr>
            <xdr:cNvPr id="18" name="Wig Purchased 1">
              <a:extLst>
                <a:ext uri="{FF2B5EF4-FFF2-40B4-BE49-F238E27FC236}">
                  <a16:creationId xmlns:a16="http://schemas.microsoft.com/office/drawing/2014/main" id="{5CC52DFD-ACDE-462A-A4CC-1D671109FE7D}"/>
                </a:ext>
              </a:extLst>
            </xdr:cNvPr>
            <xdr:cNvGraphicFramePr/>
          </xdr:nvGraphicFramePr>
          <xdr:xfrm>
            <a:off x="0" y="0"/>
            <a:ext cx="0" cy="0"/>
          </xdr:xfrm>
          <a:graphic>
            <a:graphicData uri="http://schemas.microsoft.com/office/drawing/2010/slicer">
              <sle:slicer xmlns:sle="http://schemas.microsoft.com/office/drawing/2010/slicer" name="Wig Purchased 1"/>
            </a:graphicData>
          </a:graphic>
        </xdr:graphicFrame>
      </mc:Choice>
      <mc:Fallback xmlns="">
        <xdr:sp macro="" textlink="">
          <xdr:nvSpPr>
            <xdr:cNvPr id="0" name=""/>
            <xdr:cNvSpPr>
              <a:spLocks noTextEdit="1"/>
            </xdr:cNvSpPr>
          </xdr:nvSpPr>
          <xdr:spPr>
            <a:xfrm>
              <a:off x="10048876" y="2100792"/>
              <a:ext cx="1862666" cy="2223558"/>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458259</xdr:colOff>
      <xdr:row>26</xdr:row>
      <xdr:rowOff>62444</xdr:rowOff>
    </xdr:from>
    <xdr:to>
      <xdr:col>19</xdr:col>
      <xdr:colOff>492125</xdr:colOff>
      <xdr:row>37</xdr:row>
      <xdr:rowOff>85725</xdr:rowOff>
    </xdr:to>
    <mc:AlternateContent xmlns:mc="http://schemas.openxmlformats.org/markup-compatibility/2006" xmlns:a14="http://schemas.microsoft.com/office/drawing/2010/main">
      <mc:Choice Requires="a14">
        <xdr:graphicFrame macro="">
          <xdr:nvGraphicFramePr>
            <xdr:cNvPr id="19" name="Purchase Date 1">
              <a:extLst>
                <a:ext uri="{FF2B5EF4-FFF2-40B4-BE49-F238E27FC236}">
                  <a16:creationId xmlns:a16="http://schemas.microsoft.com/office/drawing/2014/main" id="{BEBF6073-812B-44E9-95A0-6612B7980A81}"/>
                </a:ext>
              </a:extLst>
            </xdr:cNvPr>
            <xdr:cNvGraphicFramePr/>
          </xdr:nvGraphicFramePr>
          <xdr:xfrm>
            <a:off x="0" y="0"/>
            <a:ext cx="0" cy="0"/>
          </xdr:xfrm>
          <a:graphic>
            <a:graphicData uri="http://schemas.microsoft.com/office/drawing/2010/slicer">
              <sle:slicer xmlns:sle="http://schemas.microsoft.com/office/drawing/2010/slicer" name="Purchase Date 1"/>
            </a:graphicData>
          </a:graphic>
        </xdr:graphicFrame>
      </mc:Choice>
      <mc:Fallback xmlns="">
        <xdr:sp macro="" textlink="">
          <xdr:nvSpPr>
            <xdr:cNvPr id="0" name=""/>
            <xdr:cNvSpPr>
              <a:spLocks noTextEdit="1"/>
            </xdr:cNvSpPr>
          </xdr:nvSpPr>
          <xdr:spPr>
            <a:xfrm>
              <a:off x="10049934" y="4767794"/>
              <a:ext cx="1862666" cy="2014006"/>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431801</xdr:colOff>
      <xdr:row>11</xdr:row>
      <xdr:rowOff>169334</xdr:rowOff>
    </xdr:from>
    <xdr:to>
      <xdr:col>8</xdr:col>
      <xdr:colOff>203201</xdr:colOff>
      <xdr:row>14</xdr:row>
      <xdr:rowOff>1</xdr:rowOff>
    </xdr:to>
    <xdr:sp macro="" textlink="">
      <xdr:nvSpPr>
        <xdr:cNvPr id="21" name="TextBox 20">
          <a:extLst>
            <a:ext uri="{FF2B5EF4-FFF2-40B4-BE49-F238E27FC236}">
              <a16:creationId xmlns:a16="http://schemas.microsoft.com/office/drawing/2014/main" id="{7ACE960A-A059-4F06-A537-1786B0C21AEB}"/>
            </a:ext>
          </a:extLst>
        </xdr:cNvPr>
        <xdr:cNvSpPr txBox="1"/>
      </xdr:nvSpPr>
      <xdr:spPr>
        <a:xfrm>
          <a:off x="1490134" y="2218267"/>
          <a:ext cx="3429000" cy="3894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latin typeface="Arial Black" panose="020B0A04020102020204" pitchFamily="34" charset="0"/>
            </a:rPr>
            <a:t>Top</a:t>
          </a:r>
          <a:r>
            <a:rPr lang="en-US" sz="1100" baseline="0">
              <a:latin typeface="Arial Black" panose="020B0A04020102020204" pitchFamily="34" charset="0"/>
            </a:rPr>
            <a:t> 7 Best selling Wigs</a:t>
          </a:r>
          <a:endParaRPr lang="en-NG" sz="1100">
            <a:latin typeface="Arial Black" panose="020B0A04020102020204" pitchFamily="34" charset="0"/>
          </a:endParaRPr>
        </a:p>
      </xdr:txBody>
    </xdr:sp>
    <xdr:clientData/>
  </xdr:twoCellAnchor>
  <xdr:twoCellAnchor>
    <xdr:from>
      <xdr:col>10</xdr:col>
      <xdr:colOff>220133</xdr:colOff>
      <xdr:row>11</xdr:row>
      <xdr:rowOff>118534</xdr:rowOff>
    </xdr:from>
    <xdr:to>
      <xdr:col>15</xdr:col>
      <xdr:colOff>601133</xdr:colOff>
      <xdr:row>13</xdr:row>
      <xdr:rowOff>135467</xdr:rowOff>
    </xdr:to>
    <xdr:sp macro="" textlink="">
      <xdr:nvSpPr>
        <xdr:cNvPr id="22" name="TextBox 21">
          <a:extLst>
            <a:ext uri="{FF2B5EF4-FFF2-40B4-BE49-F238E27FC236}">
              <a16:creationId xmlns:a16="http://schemas.microsoft.com/office/drawing/2014/main" id="{A44E04E1-A2B2-4BD6-B107-B1091C9965D0}"/>
            </a:ext>
          </a:extLst>
        </xdr:cNvPr>
        <xdr:cNvSpPr txBox="1"/>
      </xdr:nvSpPr>
      <xdr:spPr>
        <a:xfrm>
          <a:off x="6155266" y="2167467"/>
          <a:ext cx="3429000" cy="3894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latin typeface="Arial Black" panose="020B0A04020102020204" pitchFamily="34" charset="0"/>
            </a:rPr>
            <a:t>Top</a:t>
          </a:r>
          <a:r>
            <a:rPr lang="en-US" sz="1100" baseline="0">
              <a:latin typeface="Arial Black" panose="020B0A04020102020204" pitchFamily="34" charset="0"/>
            </a:rPr>
            <a:t> 7 Best selling Wigs by revenue</a:t>
          </a:r>
          <a:endParaRPr lang="en-NG" sz="1100">
            <a:latin typeface="Arial Black" panose="020B0A04020102020204" pitchFamily="34" charset="0"/>
          </a:endParaRPr>
        </a:p>
      </xdr:txBody>
    </xdr:sp>
    <xdr:clientData/>
  </xdr:twoCellAnchor>
  <xdr:twoCellAnchor>
    <xdr:from>
      <xdr:col>2</xdr:col>
      <xdr:colOff>0</xdr:colOff>
      <xdr:row>24</xdr:row>
      <xdr:rowOff>0</xdr:rowOff>
    </xdr:from>
    <xdr:to>
      <xdr:col>7</xdr:col>
      <xdr:colOff>381000</xdr:colOff>
      <xdr:row>26</xdr:row>
      <xdr:rowOff>16934</xdr:rowOff>
    </xdr:to>
    <xdr:sp macro="" textlink="">
      <xdr:nvSpPr>
        <xdr:cNvPr id="23" name="TextBox 22">
          <a:extLst>
            <a:ext uri="{FF2B5EF4-FFF2-40B4-BE49-F238E27FC236}">
              <a16:creationId xmlns:a16="http://schemas.microsoft.com/office/drawing/2014/main" id="{BFB5DE46-E8C7-4110-8CAC-18AB14FA21D3}"/>
            </a:ext>
          </a:extLst>
        </xdr:cNvPr>
        <xdr:cNvSpPr txBox="1"/>
      </xdr:nvSpPr>
      <xdr:spPr>
        <a:xfrm>
          <a:off x="1058333" y="4470400"/>
          <a:ext cx="3429000" cy="3894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latin typeface="Arial Black" panose="020B0A04020102020204" pitchFamily="34" charset="0"/>
            </a:rPr>
            <a:t>Top</a:t>
          </a:r>
          <a:r>
            <a:rPr lang="en-US" sz="1100" baseline="0">
              <a:latin typeface="Arial Black" panose="020B0A04020102020204" pitchFamily="34" charset="0"/>
            </a:rPr>
            <a:t> 7 Best selling Wigs </a:t>
          </a:r>
          <a:r>
            <a:rPr lang="en-US" sz="1100" baseline="0">
              <a:solidFill>
                <a:schemeClr val="dk1"/>
              </a:solidFill>
              <a:effectLst/>
              <a:latin typeface="Arial Black" panose="020B0A04020102020204" pitchFamily="34" charset="0"/>
              <a:ea typeface="+mn-ea"/>
              <a:cs typeface="+mn-cs"/>
            </a:rPr>
            <a:t>by profit</a:t>
          </a:r>
          <a:endParaRPr lang="en-NG" sz="1100">
            <a:latin typeface="Arial Black" panose="020B0A04020102020204" pitchFamily="34" charset="0"/>
          </a:endParaRPr>
        </a:p>
      </xdr:txBody>
    </xdr:sp>
    <xdr:clientData/>
  </xdr:twoCellAnchor>
  <xdr:twoCellAnchor>
    <xdr:from>
      <xdr:col>11</xdr:col>
      <xdr:colOff>0</xdr:colOff>
      <xdr:row>25</xdr:row>
      <xdr:rowOff>0</xdr:rowOff>
    </xdr:from>
    <xdr:to>
      <xdr:col>16</xdr:col>
      <xdr:colOff>381000</xdr:colOff>
      <xdr:row>27</xdr:row>
      <xdr:rowOff>16934</xdr:rowOff>
    </xdr:to>
    <xdr:sp macro="" textlink="">
      <xdr:nvSpPr>
        <xdr:cNvPr id="24" name="TextBox 23">
          <a:extLst>
            <a:ext uri="{FF2B5EF4-FFF2-40B4-BE49-F238E27FC236}">
              <a16:creationId xmlns:a16="http://schemas.microsoft.com/office/drawing/2014/main" id="{0F703AA0-DE41-46FD-A681-302603F3923D}"/>
            </a:ext>
          </a:extLst>
        </xdr:cNvPr>
        <xdr:cNvSpPr txBox="1"/>
      </xdr:nvSpPr>
      <xdr:spPr>
        <a:xfrm>
          <a:off x="6544733" y="4656667"/>
          <a:ext cx="3429000" cy="3894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latin typeface="Arial Black" panose="020B0A04020102020204" pitchFamily="34" charset="0"/>
            </a:rPr>
            <a:t>Revenue quarterly</a:t>
          </a:r>
          <a:r>
            <a:rPr lang="en-US" sz="1100" baseline="0">
              <a:latin typeface="Arial Black" panose="020B0A04020102020204" pitchFamily="34" charset="0"/>
            </a:rPr>
            <a:t> trend</a:t>
          </a:r>
          <a:endParaRPr lang="en-NG" sz="1100">
            <a:latin typeface="Arial Black" panose="020B0A040201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678180</xdr:colOff>
      <xdr:row>7</xdr:row>
      <xdr:rowOff>175260</xdr:rowOff>
    </xdr:from>
    <xdr:to>
      <xdr:col>6</xdr:col>
      <xdr:colOff>236220</xdr:colOff>
      <xdr:row>21</xdr:row>
      <xdr:rowOff>81915</xdr:rowOff>
    </xdr:to>
    <mc:AlternateContent xmlns:mc="http://schemas.openxmlformats.org/markup-compatibility/2006" xmlns:a14="http://schemas.microsoft.com/office/drawing/2010/main">
      <mc:Choice Requires="a14">
        <xdr:graphicFrame macro="">
          <xdr:nvGraphicFramePr>
            <xdr:cNvPr id="2" name="Wig Purchased">
              <a:extLst>
                <a:ext uri="{FF2B5EF4-FFF2-40B4-BE49-F238E27FC236}">
                  <a16:creationId xmlns:a16="http://schemas.microsoft.com/office/drawing/2014/main" id="{8EEDF2C3-D239-4F82-BDF7-808605B34747}"/>
                </a:ext>
              </a:extLst>
            </xdr:cNvPr>
            <xdr:cNvGraphicFramePr/>
          </xdr:nvGraphicFramePr>
          <xdr:xfrm>
            <a:off x="0" y="0"/>
            <a:ext cx="0" cy="0"/>
          </xdr:xfrm>
          <a:graphic>
            <a:graphicData uri="http://schemas.microsoft.com/office/drawing/2010/slicer">
              <sle:slicer xmlns:sle="http://schemas.microsoft.com/office/drawing/2010/slicer" name="Wig Purchased"/>
            </a:graphicData>
          </a:graphic>
        </xdr:graphicFrame>
      </mc:Choice>
      <mc:Fallback xmlns="">
        <xdr:sp macro="" textlink="">
          <xdr:nvSpPr>
            <xdr:cNvPr id="0" name=""/>
            <xdr:cNvSpPr>
              <a:spLocks noTextEdit="1"/>
            </xdr:cNvSpPr>
          </xdr:nvSpPr>
          <xdr:spPr>
            <a:xfrm>
              <a:off x="4922520" y="1455420"/>
              <a:ext cx="1828800" cy="246697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251460</xdr:colOff>
      <xdr:row>8</xdr:row>
      <xdr:rowOff>76200</xdr:rowOff>
    </xdr:from>
    <xdr:to>
      <xdr:col>10</xdr:col>
      <xdr:colOff>289560</xdr:colOff>
      <xdr:row>21</xdr:row>
      <xdr:rowOff>127635</xdr:rowOff>
    </xdr:to>
    <mc:AlternateContent xmlns:mc="http://schemas.openxmlformats.org/markup-compatibility/2006" xmlns:a14="http://schemas.microsoft.com/office/drawing/2010/main">
      <mc:Choice Requires="a14">
        <xdr:graphicFrame macro="">
          <xdr:nvGraphicFramePr>
            <xdr:cNvPr id="4" name="Purchase Date">
              <a:extLst>
                <a:ext uri="{FF2B5EF4-FFF2-40B4-BE49-F238E27FC236}">
                  <a16:creationId xmlns:a16="http://schemas.microsoft.com/office/drawing/2014/main" id="{167BD004-D54F-4F96-908E-001630686084}"/>
                </a:ext>
              </a:extLst>
            </xdr:cNvPr>
            <xdr:cNvGraphicFramePr/>
          </xdr:nvGraphicFramePr>
          <xdr:xfrm>
            <a:off x="0" y="0"/>
            <a:ext cx="0" cy="0"/>
          </xdr:xfrm>
          <a:graphic>
            <a:graphicData uri="http://schemas.microsoft.com/office/drawing/2010/slicer">
              <sle:slicer xmlns:sle="http://schemas.microsoft.com/office/drawing/2010/slicer" name="Purchase Date"/>
            </a:graphicData>
          </a:graphic>
        </xdr:graphicFrame>
      </mc:Choice>
      <mc:Fallback xmlns="">
        <xdr:sp macro="" textlink="">
          <xdr:nvSpPr>
            <xdr:cNvPr id="0" name=""/>
            <xdr:cNvSpPr>
              <a:spLocks noTextEdit="1"/>
            </xdr:cNvSpPr>
          </xdr:nvSpPr>
          <xdr:spPr>
            <a:xfrm>
              <a:off x="7376160" y="1539240"/>
              <a:ext cx="1866900" cy="242887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wal" refreshedDate="46256.862308796299" createdVersion="6" refreshedVersion="6" minRefreshableVersion="3" recordCount="215" xr:uid="{236DDC34-D263-4679-B9B6-68193251C88A}">
  <cacheSource type="worksheet">
    <worksheetSource ref="A1:K1048576" sheet="Cleaned Data"/>
  </cacheSource>
  <cacheFields count="11">
    <cacheField name="S/N" numFmtId="0">
      <sharedItems containsBlank="1" containsMixedTypes="1" containsNumber="1" containsInteger="1" minValue="1" maxValue="210" count="212">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m/>
        <s v="Total customers: 210"/>
      </sharedItems>
    </cacheField>
    <cacheField name="Customer Name" numFmtId="0">
      <sharedItems containsBlank="1"/>
    </cacheField>
    <cacheField name="Wig Purchased" numFmtId="0">
      <sharedItems containsBlank="1"/>
    </cacheField>
    <cacheField name="Quantity" numFmtId="0">
      <sharedItems containsString="0" containsBlank="1" containsNumber="1" containsInteger="1" minValue="1" maxValue="5"/>
    </cacheField>
    <cacheField name="Selling Price (₦)" numFmtId="44">
      <sharedItems containsBlank="1"/>
    </cacheField>
    <cacheField name="Cost Price (₦)" numFmtId="44">
      <sharedItems containsBlank="1"/>
    </cacheField>
    <cacheField name="Purchase Date" numFmtId="14">
      <sharedItems containsNonDate="0" containsDate="1" containsString="0" containsBlank="1" minDate="2025-01-05T00:00:00" maxDate="2026-10-07T00:00:00"/>
    </cacheField>
    <cacheField name="Revenue(₦)" numFmtId="0">
      <sharedItems containsString="0" containsBlank="1" containsNumber="1" containsInteger="1" minValue="5000" maxValue="1240000"/>
    </cacheField>
    <cacheField name="Total Cost Price (₦)" numFmtId="0">
      <sharedItems containsString="0" containsBlank="1" containsNumber="1" containsInteger="1" minValue="4000" maxValue="845000"/>
    </cacheField>
    <cacheField name="Profit (₦)" numFmtId="0">
      <sharedItems containsString="0" containsBlank="1" containsNumber="1" containsInteger="1" minValue="1000" maxValue="395000"/>
    </cacheField>
    <cacheField name="Profit Margin" numFmtId="0">
      <sharedItems containsString="0" containsBlank="1" containsNumber="1" minValue="0.16666666666666666" maxValue="0.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wal" refreshedDate="46256.864436689815" createdVersion="6" refreshedVersion="6" minRefreshableVersion="3" recordCount="215" xr:uid="{4BD32E3E-46EE-4F2A-804C-6535FF0D0F0F}">
  <cacheSource type="worksheet">
    <worksheetSource ref="C1:D1048576" sheet="Cleaned Data"/>
  </cacheSource>
  <cacheFields count="2">
    <cacheField name="Wig Purchased" numFmtId="0">
      <sharedItems containsBlank="1" count="21">
        <s v="Human Hair"/>
        <s v="Hd Lace Front Wig"/>
        <s v="Closure Wig"/>
        <s v="Blend Wig"/>
        <s v="Full Lace Wig"/>
        <s v="Headband Wig"/>
        <s v="Bang Wig"/>
        <s v="Skull Cap"/>
        <s v="Machine Made Wig"/>
        <s v="Bob Wig"/>
        <s v="360 Lace Wig"/>
        <s v="4C Edges Wig"/>
        <s v="Synthetic Hair"/>
        <s v="Bouncy Wig"/>
        <s v="Braided Wig"/>
        <s v="Glueless Wig"/>
        <s v="Bone Straight"/>
        <s v="Pixel Curls"/>
        <s v="Human Hair ."/>
        <s v="Bang Wig."/>
        <m/>
      </sharedItems>
    </cacheField>
    <cacheField name="Quantity" numFmtId="0">
      <sharedItems containsString="0" containsBlank="1" containsNumber="1" containsInteger="1" minValue="1" maxValue="5"/>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wal" refreshedDate="46256.867303356485" createdVersion="6" refreshedVersion="6" minRefreshableVersion="3" recordCount="215" xr:uid="{34742794-2B15-4B95-A1FA-E3C5B7E08F87}">
  <cacheSource type="worksheet">
    <worksheetSource ref="C1:H1048576" sheet="Cleaned Data"/>
  </cacheSource>
  <cacheFields count="6">
    <cacheField name="Wig Purchased" numFmtId="0">
      <sharedItems containsBlank="1" count="21">
        <s v="Human Hair"/>
        <s v="Hd Lace Front Wig"/>
        <s v="Closure Wig"/>
        <s v="Blend Wig"/>
        <s v="Full Lace Wig"/>
        <s v="Headband Wig"/>
        <s v="Bang Wig"/>
        <s v="Skull Cap"/>
        <s v="Machine Made Wig"/>
        <s v="Bob Wig"/>
        <s v="360 Lace Wig"/>
        <s v="4C Edges Wig"/>
        <s v="Synthetic Hair"/>
        <s v="Bouncy Wig"/>
        <s v="Braided Wig"/>
        <s v="Glueless Wig"/>
        <s v="Bone Straight"/>
        <s v="Pixel Curls"/>
        <s v="Human Hair ."/>
        <s v="Bang Wig."/>
        <m/>
      </sharedItems>
    </cacheField>
    <cacheField name="Quantity" numFmtId="0">
      <sharedItems containsString="0" containsBlank="1" containsNumber="1" containsInteger="1" minValue="1" maxValue="5"/>
    </cacheField>
    <cacheField name="Selling Price (₦)" numFmtId="44">
      <sharedItems containsBlank="1"/>
    </cacheField>
    <cacheField name="Cost Price (₦)" numFmtId="44">
      <sharedItems containsBlank="1"/>
    </cacheField>
    <cacheField name="Purchase Date" numFmtId="14">
      <sharedItems containsNonDate="0" containsDate="1" containsString="0" containsBlank="1" minDate="2025-01-05T00:00:00" maxDate="2026-10-07T00:00:00"/>
    </cacheField>
    <cacheField name="Revenue(₦)" numFmtId="0">
      <sharedItems containsString="0" containsBlank="1" containsNumber="1" containsInteger="1" minValue="5000" maxValue="1240000"/>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wal" refreshedDate="46256.869377199073" createdVersion="6" refreshedVersion="6" minRefreshableVersion="3" recordCount="215" xr:uid="{86B92A0E-8D13-4E88-8E1D-B6F294630120}">
  <cacheSource type="worksheet">
    <worksheetSource ref="C1:J1048576" sheet="Cleaned Data"/>
  </cacheSource>
  <cacheFields count="8">
    <cacheField name="Wig Purchased" numFmtId="0">
      <sharedItems containsBlank="1" count="21">
        <s v="Human Hair"/>
        <s v="Hd Lace Front Wig"/>
        <s v="Closure Wig"/>
        <s v="Blend Wig"/>
        <s v="Full Lace Wig"/>
        <s v="Headband Wig"/>
        <s v="Bang Wig"/>
        <s v="Skull Cap"/>
        <s v="Machine Made Wig"/>
        <s v="Bob Wig"/>
        <s v="360 Lace Wig"/>
        <s v="4C Edges Wig"/>
        <s v="Synthetic Hair"/>
        <s v="Bouncy Wig"/>
        <s v="Braided Wig"/>
        <s v="Glueless Wig"/>
        <s v="Bone Straight"/>
        <s v="Pixel Curls"/>
        <s v="Human Hair ."/>
        <s v="Bang Wig."/>
        <m/>
      </sharedItems>
    </cacheField>
    <cacheField name="Quantity" numFmtId="0">
      <sharedItems containsString="0" containsBlank="1" containsNumber="1" containsInteger="1" minValue="1" maxValue="5"/>
    </cacheField>
    <cacheField name="Selling Price (₦)" numFmtId="44">
      <sharedItems containsBlank="1"/>
    </cacheField>
    <cacheField name="Cost Price (₦)" numFmtId="44">
      <sharedItems containsBlank="1"/>
    </cacheField>
    <cacheField name="Purchase Date" numFmtId="14">
      <sharedItems containsNonDate="0" containsDate="1" containsString="0" containsBlank="1" minDate="2025-01-05T00:00:00" maxDate="2026-10-07T00:00:00"/>
    </cacheField>
    <cacheField name="Revenue(₦)" numFmtId="0">
      <sharedItems containsString="0" containsBlank="1" containsNumber="1" containsInteger="1" minValue="5000" maxValue="1240000"/>
    </cacheField>
    <cacheField name="Total Cost Price (₦)" numFmtId="0">
      <sharedItems containsString="0" containsBlank="1" containsNumber="1" containsInteger="1" minValue="4000" maxValue="845000"/>
    </cacheField>
    <cacheField name="Profit (₦)" numFmtId="0">
      <sharedItems containsString="0" containsBlank="1" containsNumber="1" containsInteger="1" minValue="1000" maxValue="395000"/>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wal" refreshedDate="46256.871271180557" createdVersion="6" refreshedVersion="6" minRefreshableVersion="3" recordCount="215" xr:uid="{3C5E2FC5-9B7E-4B30-BB7D-8BA6104964DC}">
  <cacheSource type="worksheet">
    <worksheetSource ref="G1:H1048576" sheet="Cleaned Data"/>
  </cacheSource>
  <cacheFields count="4">
    <cacheField name="Purchase Date" numFmtId="14">
      <sharedItems containsNonDate="0" containsDate="1" containsString="0" containsBlank="1" minDate="2025-01-05T00:00:00" maxDate="2026-10-07T00:00:00" count="169">
        <d v="2026-07-08T00:00:00"/>
        <d v="2026-01-06T00:00:00"/>
        <d v="2025-02-25T00:00:00"/>
        <d v="2026-03-08T00:00:00"/>
        <d v="2025-05-03T00:00:00"/>
        <d v="2026-01-13T00:00:00"/>
        <d v="2025-06-13T00:00:00"/>
        <d v="2025-04-13T00:00:00"/>
        <d v="2025-08-17T00:00:00"/>
        <d v="2025-05-07T00:00:00"/>
        <d v="2025-11-30T00:00:00"/>
        <d v="2026-07-29T00:00:00"/>
        <d v="2025-11-08T00:00:00"/>
        <d v="2026-06-15T00:00:00"/>
        <d v="2026-07-25T00:00:00"/>
        <d v="2026-04-03T00:00:00"/>
        <d v="2026-02-26T00:00:00"/>
        <d v="2026-06-08T00:00:00"/>
        <d v="2025-04-08T00:00:00"/>
        <d v="2025-01-17T00:00:00"/>
        <d v="2025-10-15T00:00:00"/>
        <m/>
        <d v="2025-05-31T00:00:00"/>
        <d v="2025-02-28T00:00:00"/>
        <d v="2025-02-26T00:00:00"/>
        <d v="2026-07-13T00:00:00"/>
        <d v="2025-08-18T00:00:00"/>
        <d v="2025-02-11T00:00:00"/>
        <d v="2025-10-05T00:00:00"/>
        <d v="2025-05-14T00:00:00"/>
        <d v="2025-10-10T00:00:00"/>
        <d v="2025-03-20T00:00:00"/>
        <d v="2025-11-14T00:00:00"/>
        <d v="2025-04-01T00:00:00"/>
        <d v="2026-05-15T00:00:00"/>
        <d v="2026-07-23T00:00:00"/>
        <d v="2026-04-14T00:00:00"/>
        <d v="2025-06-23T00:00:00"/>
        <d v="2026-06-01T00:00:00"/>
        <d v="2025-11-10T00:00:00"/>
        <d v="2025-04-24T00:00:00"/>
        <d v="2025-10-17T00:00:00"/>
        <d v="2026-04-21T00:00:00"/>
        <d v="2025-11-18T00:00:00"/>
        <d v="2025-07-29T00:00:00"/>
        <d v="2025-02-27T00:00:00"/>
        <d v="2026-05-22T00:00:00"/>
        <d v="2025-05-08T00:00:00"/>
        <d v="2026-08-03T00:00:00"/>
        <d v="2025-03-19T00:00:00"/>
        <d v="2025-03-08T00:00:00"/>
        <d v="2025-01-05T00:00:00"/>
        <d v="2026-04-07T00:00:00"/>
        <d v="2026-03-31T00:00:00"/>
        <d v="2026-01-10T00:00:00"/>
        <d v="2025-06-28T00:00:00"/>
        <d v="2025-08-21T00:00:00"/>
        <d v="2025-12-15T00:00:00"/>
        <d v="2026-07-21T00:00:00"/>
        <d v="2025-01-25T00:00:00"/>
        <d v="2026-02-08T00:00:00"/>
        <d v="2026-03-16T00:00:00"/>
        <d v="2026-07-10T00:00:00"/>
        <d v="2025-08-15T00:00:00"/>
        <d v="2026-01-02T00:00:00"/>
        <d v="2025-12-28T00:00:00"/>
        <d v="2025-10-21T00:00:00"/>
        <d v="2025-12-19T00:00:00"/>
        <d v="2025-04-07T00:00:00"/>
        <d v="2025-09-17T00:00:00"/>
        <d v="2026-03-30T00:00:00"/>
        <d v="2025-12-07T00:00:00"/>
        <d v="2025-10-24T00:00:00"/>
        <d v="2025-01-14T00:00:00"/>
        <d v="2025-12-30T00:00:00"/>
        <d v="2026-07-14T00:00:00"/>
        <d v="2025-06-18T00:00:00"/>
        <d v="2025-03-18T00:00:00"/>
        <d v="2026-07-02T00:00:00"/>
        <d v="2026-05-01T00:00:00"/>
        <d v="2025-06-17T00:00:00"/>
        <d v="2025-08-29T00:00:00"/>
        <d v="2026-06-06T00:00:00"/>
        <d v="2025-07-16T00:00:00"/>
        <d v="2026-08-10T00:00:00"/>
        <d v="2026-01-24T00:00:00"/>
        <d v="2025-10-16T00:00:00"/>
        <d v="2026-07-11T00:00:00"/>
        <d v="2026-06-21T00:00:00"/>
        <d v="2026-06-29T00:00:00"/>
        <d v="2026-05-27T00:00:00"/>
        <d v="2026-01-29T00:00:00"/>
        <d v="2025-03-06T00:00:00"/>
        <d v="2026-02-14T00:00:00"/>
        <d v="2025-07-26T00:00:00"/>
        <d v="2025-08-03T00:00:00"/>
        <d v="2025-08-31T00:00:00"/>
        <d v="2026-05-04T00:00:00"/>
        <d v="2025-05-18T00:00:00"/>
        <d v="2026-02-19T00:00:00"/>
        <d v="2025-06-24T00:00:00"/>
        <d v="2025-04-10T00:00:00"/>
        <d v="2025-08-09T00:00:00"/>
        <d v="2026-05-28T00:00:00"/>
        <d v="2025-09-18T00:00:00"/>
        <d v="2026-06-28T00:00:00"/>
        <d v="2025-01-07T00:00:00"/>
        <d v="2025-10-06T00:00:00"/>
        <d v="2026-01-12T00:00:00"/>
        <d v="2025-10-26T00:00:00"/>
        <d v="2025-04-25T00:00:00"/>
        <d v="2026-07-17T00:00:00"/>
        <d v="2025-05-30T00:00:00"/>
        <d v="2025-06-05T00:00:00"/>
        <d v="2025-07-20T00:00:00"/>
        <d v="2025-04-21T00:00:00"/>
        <d v="2025-02-18T00:00:00"/>
        <d v="2025-09-06T00:00:00"/>
        <d v="2026-05-23T00:00:00"/>
        <d v="2025-11-20T00:00:00"/>
        <d v="2025-05-02T00:00:00"/>
        <d v="2025-04-14T00:00:00"/>
        <d v="2026-03-10T00:00:00"/>
        <d v="2025-03-13T00:00:00"/>
        <d v="2025-01-08T00:00:00"/>
        <d v="2025-06-10T00:00:00"/>
        <d v="2025-09-01T00:00:00"/>
        <d v="2026-01-23T00:00:00"/>
        <d v="2025-04-19T00:00:00"/>
        <d v="2025-07-22T00:00:00"/>
        <d v="2026-03-03T00:00:00"/>
        <d v="2025-03-17T00:00:00"/>
        <d v="2025-08-02T00:00:00"/>
        <d v="2026-01-19T00:00:00"/>
        <d v="2026-07-30T00:00:00"/>
        <d v="2026-08-05T00:00:00"/>
        <d v="2025-06-29T00:00:00"/>
        <d v="2025-05-26T00:00:00"/>
        <d v="2025-04-26T00:00:00"/>
        <d v="2026-10-06T00:00:00"/>
        <d v="2025-10-01T00:00:00"/>
        <d v="2025-09-03T00:00:00"/>
        <d v="2026-04-17T00:00:00"/>
        <d v="2025-06-12T00:00:00"/>
        <d v="2025-11-09T00:00:00"/>
        <d v="2026-06-13T00:00:00"/>
        <d v="2025-04-20T00:00:00"/>
        <d v="2025-11-16T00:00:00"/>
        <d v="2026-06-14T00:00:00"/>
        <d v="2026-01-17T00:00:00"/>
        <d v="2025-06-26T00:00:00"/>
        <d v="2025-09-07T00:00:00"/>
        <d v="2025-03-28T00:00:00"/>
        <d v="2025-06-22T00:00:00"/>
        <d v="2025-01-24T00:00:00"/>
        <d v="2025-02-01T00:00:00"/>
        <d v="2026-03-15T00:00:00"/>
        <d v="2025-05-01T00:00:00"/>
        <d v="2025-01-27T00:00:00"/>
        <d v="2025-11-24T00:00:00"/>
        <d v="2025-07-19T00:00:00"/>
        <d v="2025-02-05T00:00:00"/>
        <d v="2026-04-06T00:00:00"/>
        <d v="2025-01-26T00:00:00"/>
        <d v="2025-12-18T00:00:00"/>
        <d v="2025-10-12T00:00:00"/>
        <d v="2026-03-13T00:00:00"/>
        <d v="2025-02-16T00:00:00"/>
        <d v="2025-09-12T00:00:00"/>
      </sharedItems>
      <fieldGroup par="3" base="0">
        <rangePr groupBy="months" startDate="2025-01-05T00:00:00" endDate="2026-10-07T00:00:00"/>
        <groupItems count="14">
          <s v="(blank)"/>
          <s v="Jan"/>
          <s v="Feb"/>
          <s v="Mar"/>
          <s v="Apr"/>
          <s v="May"/>
          <s v="Jun"/>
          <s v="Jul"/>
          <s v="Aug"/>
          <s v="Sep"/>
          <s v="Oct"/>
          <s v="Nov"/>
          <s v="Dec"/>
          <s v="&gt;07/10/2026"/>
        </groupItems>
      </fieldGroup>
    </cacheField>
    <cacheField name="Revenue(₦)" numFmtId="0">
      <sharedItems containsString="0" containsBlank="1" containsNumber="1" containsInteger="1" minValue="5000" maxValue="1240000"/>
    </cacheField>
    <cacheField name="Quarters" numFmtId="0" databaseField="0">
      <fieldGroup base="0">
        <rangePr groupBy="quarters" startDate="2025-01-05T00:00:00" endDate="2026-10-07T00:00:00"/>
        <groupItems count="6">
          <s v="&lt;05/01/2025"/>
          <s v="Qtr1"/>
          <s v="Qtr2"/>
          <s v="Qtr3"/>
          <s v="Qtr4"/>
          <s v="&gt;07/10/2026"/>
        </groupItems>
      </fieldGroup>
    </cacheField>
    <cacheField name="Years" numFmtId="0" databaseField="0">
      <fieldGroup base="0">
        <rangePr groupBy="years" startDate="2025-01-05T00:00:00" endDate="2026-10-07T00:00:00"/>
        <groupItems count="4">
          <s v="&lt;05/01/2025"/>
          <s v="2025"/>
          <s v="2026"/>
          <s v="&gt;07/10/2026"/>
        </groupItems>
      </fieldGroup>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wal" refreshedDate="46261.656498958335" createdVersion="6" refreshedVersion="6" minRefreshableVersion="3" recordCount="210" xr:uid="{A86E2E1D-3824-4109-905E-AC6C69E96B7A}">
  <cacheSource type="worksheet">
    <worksheetSource ref="A1:K211" sheet="Cleaned Data"/>
  </cacheSource>
  <cacheFields count="11">
    <cacheField name="S/N" numFmtId="0">
      <sharedItems containsSemiMixedTypes="0" containsString="0" containsNumber="1" containsInteger="1" minValue="1" maxValue="210"/>
    </cacheField>
    <cacheField name="Customer Name" numFmtId="0">
      <sharedItems count="167">
        <s v="Esther Chukwu"/>
        <s v="Chiamaka Adeyemi"/>
        <s v="Mary Balogun"/>
        <s v="Nneka Olawale"/>
        <s v="Peace Yusuf"/>
        <s v="Aisha Ogunleye"/>
        <s v="Sharon Akinyemi"/>
        <s v="Amaka Oni"/>
        <s v="Zainab Akinyemi"/>
        <s v="Hannah Okafor"/>
        <s v="Joy Owolabi"/>
        <s v="Miriam Umeh"/>
        <s v="Ruth Ajayi"/>
        <s v="Sophia Olawale"/>
        <s v="Mercy Ibrahim"/>
        <s v="Peace Okafor"/>
        <s v="Tolu Salami"/>
        <s v="Victoria Lawal"/>
        <s v="Tolu Owolabi"/>
        <s v="Precious Okafor"/>
        <s v="Sophia Eze"/>
        <s v="Victoria Salami"/>
        <s v="Favour Salami"/>
        <s v="Mariam Afolabi"/>
        <s v="Ifeoma Balogun"/>
        <s v="Precious Salami"/>
        <s v="Favour Ogunleye"/>
        <s v="Joy Akinyemi"/>
        <s v="Yetunde Akinyemi"/>
        <s v="Gift Adebayo"/>
        <s v="Ruth Afolabi"/>
        <s v="Mariam Umeh"/>
        <s v="Sandra Eze"/>
        <s v="Teni Balogun"/>
        <s v="Favour Owolabi"/>
        <s v=""/>
        <s v="Teni Akinyemi"/>
        <s v="Ifeoma Olawale"/>
        <s v="Victoria Olawale"/>
        <s v="Amaka Owolabi"/>
        <s v="Joy Salami"/>
        <s v="Zainab Afolabi"/>
        <s v="Teni Umeh"/>
        <s v="Tolu Eze"/>
        <s v="Kemi Balogun"/>
        <s v="Ada Akinyemi"/>
        <s v="Favour Olawale"/>
        <s v="Mercy Owolabi"/>
        <s v="Nneka Akinyemi"/>
        <s v="Gift Akintola"/>
        <s v="Precious Ajayi"/>
        <s v="Sophia Yusuf"/>
        <s v="Victoria Akintola"/>
        <s v="Victoria Ajayi"/>
        <s v="Teni Ogunleye"/>
        <s v="Peace Ogunleye"/>
        <s v="Precious Umeh"/>
        <s v="Teni Eze"/>
        <s v="Ruth Olawale"/>
        <s v="Esther Ibrahim"/>
        <s v="Yetunde Ogunleye"/>
        <s v="Janet Lawal"/>
        <s v="Yetunde Ajayi"/>
        <s v="Victoria Afolabi"/>
        <s v="Favour Akinyemi"/>
        <s v="Blessing Oni"/>
        <s v="Favour Lawal"/>
        <s v="Teni Ibrahim"/>
        <s v="Hannah Eze"/>
        <s v="Janet Chukwu"/>
        <s v="Zainab Lawal"/>
        <s v="Victoria Eze"/>
        <s v="Mary Afolabi"/>
        <s v="Ifeoma Afolabi"/>
        <s v="Yetunde Okeke"/>
        <s v="Kemi Okafor"/>
        <s v="Aisha Okafor"/>
        <s v="Sophia Balogun"/>
        <s v="Gift Adeyemi"/>
        <s v="Chiamaka Akintola"/>
        <s v="Precious Ibrahim"/>
        <s v="Kemi Adebayo"/>
        <s v="Kemi Lawal"/>
        <s v="Ada Lawal"/>
        <s v="Precious Afolabi"/>
        <s v="Ifeoma Adebayo"/>
        <s v="Gift Yusuf"/>
        <s v="Kemi Adeyemi"/>
        <s v="Deborah Ibrahim"/>
        <s v="Joy Akintola"/>
        <s v="Esther Olawale"/>
        <s v="Chiamaka Ibrahim"/>
        <s v="Hannah Afolabi"/>
        <s v="Chiamaka Ogunleye"/>
        <s v="Favour Oni"/>
        <s v="Blessing Owolabi"/>
        <s v="Miriam Adeyemi"/>
        <s v="Sophia Chukwu"/>
        <s v="Victoria Adebayo"/>
        <s v="Sharon Chukwu"/>
        <s v="Yetunde Owolabi"/>
        <s v="Teni Okeke"/>
        <s v="Joy Oni"/>
        <s v="Chiamaka Ajayi"/>
        <s v="Joy Afolabi"/>
        <s v="Sophia Oni"/>
        <s v="Joy Eze"/>
        <s v="Hannah Salami"/>
        <s v="Miriam Akintola"/>
        <s v="Miriam Lawal"/>
        <s v="Victoria Oni"/>
        <s v="Sandra Okafor"/>
        <s v="Nneka Oni"/>
        <s v="Victoria Okafor"/>
        <s v="Ruth Akintola"/>
        <s v="Peace Afolabi"/>
        <s v="Peace Akintola"/>
        <s v="Janet Owolabi"/>
        <s v="Janet Ajayi"/>
        <s v="Tolu Akinyemi"/>
        <s v="Hannah Okeke"/>
        <s v="Sophia Okafor"/>
        <s v="Hannah Ajayi"/>
        <s v="Yetunde Akintola"/>
        <s v="Ruth Akinyemi"/>
        <s v="Aisha Adeyemi"/>
        <s v="Teni Owolabi"/>
        <s v="Janet Balogun"/>
        <s v="Favour Ajayi"/>
        <s v="Precious Eze"/>
        <s v="Zainab Olawale"/>
        <s v="Miriam Okeke"/>
        <s v="Nneka Umeh"/>
        <s v="Janet Eze"/>
        <s v="Gift Okeke"/>
        <s v="Mary Adeyemi"/>
        <s v="Mary Owolabi"/>
        <s v="Zainab Ajayi"/>
        <s v="Mercy Chukwu"/>
        <s v="Aisha Yusuf"/>
        <s v="Gift Chukwu"/>
        <s v="Ruth Eze"/>
        <s v="Chiamaka Salami"/>
        <s v="Chiamaka Adebayo"/>
        <s v="Mary Okeke"/>
        <s v="Ifeoma Adeyemi"/>
        <s v="Sharon Owolabi"/>
        <s v="Favour Akintola"/>
        <s v="Amaka Ibrahim"/>
        <s v="Favour Okafor"/>
        <s v="Blessing Adeyemi"/>
        <s v="Aisha Oni"/>
        <s v="Kemi Umeh"/>
        <s v="Nneka Lawal"/>
        <s v="Amaka Eze"/>
        <s v="Sandra Lawal"/>
        <s v="Blessing Chukwu"/>
        <s v="Ada Yusuf"/>
        <s v="Gift Ogunleye"/>
        <s v="Precious Adebayo"/>
        <s v="Nneka Ogunleye"/>
        <s v="Yetunde Lawal"/>
        <s v="Sophia Lawal"/>
        <s v="Chiamaka Balogun"/>
        <s v="Blessing Ogunleye"/>
        <s v="Sandra Ajayi"/>
        <s v="Kemi Akinyemi"/>
      </sharedItems>
    </cacheField>
    <cacheField name="Wig Purchased" numFmtId="0">
      <sharedItems count="20">
        <s v="Human Hair"/>
        <s v="Hd Lace Front Wig"/>
        <s v="Closure Wig"/>
        <s v="Blend Wig"/>
        <s v="Full Lace Wig"/>
        <s v="Headband Wig"/>
        <s v="Bang Wig"/>
        <s v="Skull Cap"/>
        <s v="Machine Made Wig"/>
        <s v="Bob Wig"/>
        <s v="360 Lace Wig"/>
        <s v="4C Edges Wig"/>
        <s v="Synthetic Hair"/>
        <s v="Bouncy Wig"/>
        <s v="Braided Wig"/>
        <s v="Glueless Wig"/>
        <s v="Bone Straight"/>
        <s v="Pixel Curls"/>
        <s v="Human Hair ."/>
        <s v="Bang Wig."/>
      </sharedItems>
    </cacheField>
    <cacheField name="Quantity" numFmtId="0">
      <sharedItems containsString="0" containsBlank="1" containsNumber="1" containsInteger="1" minValue="1" maxValue="5" count="6">
        <n v="1"/>
        <n v="2"/>
        <m/>
        <n v="3"/>
        <n v="5"/>
        <n v="4"/>
      </sharedItems>
    </cacheField>
    <cacheField name="Selling Price (₦)" numFmtId="44">
      <sharedItems/>
    </cacheField>
    <cacheField name="Cost Price (₦)" numFmtId="44">
      <sharedItems/>
    </cacheField>
    <cacheField name="Purchase Date" numFmtId="14">
      <sharedItems containsNonDate="0" containsDate="1" containsString="0" containsBlank="1" minDate="2025-01-05T00:00:00" maxDate="2026-10-07T00:00:00" count="169">
        <d v="2026-07-08T00:00:00"/>
        <d v="2026-01-06T00:00:00"/>
        <d v="2025-02-25T00:00:00"/>
        <d v="2026-03-08T00:00:00"/>
        <d v="2025-05-03T00:00:00"/>
        <d v="2026-01-13T00:00:00"/>
        <d v="2025-06-13T00:00:00"/>
        <d v="2025-04-13T00:00:00"/>
        <d v="2025-08-17T00:00:00"/>
        <d v="2025-05-07T00:00:00"/>
        <d v="2025-11-30T00:00:00"/>
        <d v="2026-07-29T00:00:00"/>
        <d v="2025-11-08T00:00:00"/>
        <d v="2026-06-15T00:00:00"/>
        <d v="2026-07-25T00:00:00"/>
        <d v="2026-04-03T00:00:00"/>
        <d v="2026-02-26T00:00:00"/>
        <d v="2026-06-08T00:00:00"/>
        <d v="2025-04-08T00:00:00"/>
        <d v="2025-01-17T00:00:00"/>
        <d v="2025-10-15T00:00:00"/>
        <m/>
        <d v="2025-05-31T00:00:00"/>
        <d v="2025-02-28T00:00:00"/>
        <d v="2025-02-26T00:00:00"/>
        <d v="2026-07-13T00:00:00"/>
        <d v="2025-08-18T00:00:00"/>
        <d v="2025-02-11T00:00:00"/>
        <d v="2025-10-05T00:00:00"/>
        <d v="2025-05-14T00:00:00"/>
        <d v="2025-10-10T00:00:00"/>
        <d v="2025-03-20T00:00:00"/>
        <d v="2025-11-14T00:00:00"/>
        <d v="2025-04-01T00:00:00"/>
        <d v="2026-05-15T00:00:00"/>
        <d v="2026-07-23T00:00:00"/>
        <d v="2026-04-14T00:00:00"/>
        <d v="2025-06-23T00:00:00"/>
        <d v="2026-06-01T00:00:00"/>
        <d v="2025-11-10T00:00:00"/>
        <d v="2025-04-24T00:00:00"/>
        <d v="2025-10-17T00:00:00"/>
        <d v="2026-04-21T00:00:00"/>
        <d v="2025-11-18T00:00:00"/>
        <d v="2025-07-29T00:00:00"/>
        <d v="2025-02-27T00:00:00"/>
        <d v="2026-05-22T00:00:00"/>
        <d v="2025-05-08T00:00:00"/>
        <d v="2026-08-03T00:00:00"/>
        <d v="2025-03-19T00:00:00"/>
        <d v="2025-03-08T00:00:00"/>
        <d v="2025-01-05T00:00:00"/>
        <d v="2026-04-07T00:00:00"/>
        <d v="2026-03-31T00:00:00"/>
        <d v="2026-01-10T00:00:00"/>
        <d v="2025-06-28T00:00:00"/>
        <d v="2025-08-21T00:00:00"/>
        <d v="2025-12-15T00:00:00"/>
        <d v="2026-07-21T00:00:00"/>
        <d v="2025-01-25T00:00:00"/>
        <d v="2026-02-08T00:00:00"/>
        <d v="2026-03-16T00:00:00"/>
        <d v="2026-07-10T00:00:00"/>
        <d v="2025-08-15T00:00:00"/>
        <d v="2026-01-02T00:00:00"/>
        <d v="2025-12-28T00:00:00"/>
        <d v="2025-10-21T00:00:00"/>
        <d v="2025-12-19T00:00:00"/>
        <d v="2025-04-07T00:00:00"/>
        <d v="2025-09-17T00:00:00"/>
        <d v="2026-03-30T00:00:00"/>
        <d v="2025-12-07T00:00:00"/>
        <d v="2025-10-24T00:00:00"/>
        <d v="2025-01-14T00:00:00"/>
        <d v="2025-12-30T00:00:00"/>
        <d v="2026-07-14T00:00:00"/>
        <d v="2025-06-18T00:00:00"/>
        <d v="2025-03-18T00:00:00"/>
        <d v="2026-07-02T00:00:00"/>
        <d v="2026-05-01T00:00:00"/>
        <d v="2025-06-17T00:00:00"/>
        <d v="2025-08-29T00:00:00"/>
        <d v="2026-06-06T00:00:00"/>
        <d v="2025-07-16T00:00:00"/>
        <d v="2026-08-10T00:00:00"/>
        <d v="2026-01-24T00:00:00"/>
        <d v="2025-10-16T00:00:00"/>
        <d v="2026-07-11T00:00:00"/>
        <d v="2026-06-21T00:00:00"/>
        <d v="2026-06-29T00:00:00"/>
        <d v="2026-05-27T00:00:00"/>
        <d v="2026-01-29T00:00:00"/>
        <d v="2025-03-06T00:00:00"/>
        <d v="2026-02-14T00:00:00"/>
        <d v="2025-07-26T00:00:00"/>
        <d v="2025-08-03T00:00:00"/>
        <d v="2025-08-31T00:00:00"/>
        <d v="2026-05-04T00:00:00"/>
        <d v="2025-05-18T00:00:00"/>
        <d v="2026-02-19T00:00:00"/>
        <d v="2025-06-24T00:00:00"/>
        <d v="2025-04-10T00:00:00"/>
        <d v="2025-08-09T00:00:00"/>
        <d v="2026-05-28T00:00:00"/>
        <d v="2025-09-18T00:00:00"/>
        <d v="2026-06-28T00:00:00"/>
        <d v="2025-01-07T00:00:00"/>
        <d v="2025-10-06T00:00:00"/>
        <d v="2026-01-12T00:00:00"/>
        <d v="2025-10-26T00:00:00"/>
        <d v="2025-04-25T00:00:00"/>
        <d v="2026-07-17T00:00:00"/>
        <d v="2025-05-30T00:00:00"/>
        <d v="2025-06-05T00:00:00"/>
        <d v="2025-07-20T00:00:00"/>
        <d v="2025-04-21T00:00:00"/>
        <d v="2025-02-18T00:00:00"/>
        <d v="2025-09-06T00:00:00"/>
        <d v="2026-05-23T00:00:00"/>
        <d v="2025-11-20T00:00:00"/>
        <d v="2025-05-02T00:00:00"/>
        <d v="2025-04-14T00:00:00"/>
        <d v="2026-03-10T00:00:00"/>
        <d v="2025-03-13T00:00:00"/>
        <d v="2025-01-08T00:00:00"/>
        <d v="2025-06-10T00:00:00"/>
        <d v="2025-09-01T00:00:00"/>
        <d v="2026-01-23T00:00:00"/>
        <d v="2025-04-19T00:00:00"/>
        <d v="2025-07-22T00:00:00"/>
        <d v="2026-03-03T00:00:00"/>
        <d v="2025-03-17T00:00:00"/>
        <d v="2025-08-02T00:00:00"/>
        <d v="2026-01-19T00:00:00"/>
        <d v="2026-07-30T00:00:00"/>
        <d v="2026-08-05T00:00:00"/>
        <d v="2025-06-29T00:00:00"/>
        <d v="2025-05-26T00:00:00"/>
        <d v="2025-04-26T00:00:00"/>
        <d v="2026-10-06T00:00:00"/>
        <d v="2025-10-01T00:00:00"/>
        <d v="2025-09-03T00:00:00"/>
        <d v="2026-04-17T00:00:00"/>
        <d v="2025-06-12T00:00:00"/>
        <d v="2025-11-09T00:00:00"/>
        <d v="2026-06-13T00:00:00"/>
        <d v="2025-04-20T00:00:00"/>
        <d v="2025-11-16T00:00:00"/>
        <d v="2026-06-14T00:00:00"/>
        <d v="2026-01-17T00:00:00"/>
        <d v="2025-06-26T00:00:00"/>
        <d v="2025-09-07T00:00:00"/>
        <d v="2025-03-28T00:00:00"/>
        <d v="2025-06-22T00:00:00"/>
        <d v="2025-01-24T00:00:00"/>
        <d v="2025-02-01T00:00:00"/>
        <d v="2026-03-15T00:00:00"/>
        <d v="2025-05-01T00:00:00"/>
        <d v="2025-01-27T00:00:00"/>
        <d v="2025-11-24T00:00:00"/>
        <d v="2025-07-19T00:00:00"/>
        <d v="2025-02-05T00:00:00"/>
        <d v="2026-04-06T00:00:00"/>
        <d v="2025-01-26T00:00:00"/>
        <d v="2025-12-18T00:00:00"/>
        <d v="2025-10-12T00:00:00"/>
        <d v="2026-03-13T00:00:00"/>
        <d v="2025-02-16T00:00:00"/>
        <d v="2025-09-12T00:00:00"/>
      </sharedItems>
    </cacheField>
    <cacheField name="Revenue(₦)" numFmtId="0">
      <sharedItems containsString="0" containsBlank="1" containsNumber="1" containsInteger="1" minValue="5000" maxValue="1240000"/>
    </cacheField>
    <cacheField name="Total Cost Price (₦)" numFmtId="0">
      <sharedItems containsString="0" containsBlank="1" containsNumber="1" containsInteger="1" minValue="4000" maxValue="845000"/>
    </cacheField>
    <cacheField name="Profit (₦)" numFmtId="0">
      <sharedItems containsString="0" containsBlank="1" containsNumber="1" containsInteger="1" minValue="1000" maxValue="395000"/>
    </cacheField>
    <cacheField name="Profit Margin" numFmtId="0">
      <sharedItems containsString="0" containsBlank="1" containsNumber="1" minValue="0.16666666666666666" maxValue="0.5"/>
    </cacheField>
  </cacheFields>
  <extLst>
    <ext xmlns:x14="http://schemas.microsoft.com/office/spreadsheetml/2009/9/main" uri="{725AE2AE-9491-48be-B2B4-4EB974FC3084}">
      <x14:pivotCacheDefinition pivotCacheId="20930149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5">
  <r>
    <x v="0"/>
    <s v="Esther Chukwu"/>
    <s v="Human Hair"/>
    <n v="1"/>
    <s v="206000"/>
    <s v="118000"/>
    <d v="2026-07-08T00:00:00"/>
    <n v="206000"/>
    <n v="118000"/>
    <n v="88000"/>
    <n v="0.42718446601941745"/>
  </r>
  <r>
    <x v="1"/>
    <s v="Chiamaka Adeyemi"/>
    <s v="Hd Lace Front Wig"/>
    <n v="2"/>
    <s v="154000"/>
    <s v="116000"/>
    <d v="2026-01-06T00:00:00"/>
    <n v="308000"/>
    <n v="232000"/>
    <n v="76000"/>
    <n v="0.24675324675324675"/>
  </r>
  <r>
    <x v="2"/>
    <s v="Mary Balogun"/>
    <s v="Closure Wig"/>
    <n v="1"/>
    <s v="111000"/>
    <s v="68000"/>
    <d v="2025-02-25T00:00:00"/>
    <n v="111000"/>
    <n v="68000"/>
    <n v="43000"/>
    <n v="0.38738738738738737"/>
  </r>
  <r>
    <x v="3"/>
    <s v="Nneka Olawale"/>
    <s v="Blend Wig"/>
    <n v="1"/>
    <s v="64000"/>
    <s v="36000"/>
    <d v="2026-03-08T00:00:00"/>
    <n v="64000"/>
    <n v="36000"/>
    <n v="28000"/>
    <n v="0.4375"/>
  </r>
  <r>
    <x v="4"/>
    <s v="Peace Yusuf"/>
    <s v="Full Lace Wig"/>
    <n v="1"/>
    <s v="238,000"/>
    <s v="141000"/>
    <d v="2025-05-03T00:00:00"/>
    <n v="238000"/>
    <n v="141000"/>
    <n v="97000"/>
    <n v="0.40756302521008403"/>
  </r>
  <r>
    <x v="5"/>
    <s v="Aisha Ogunleye"/>
    <s v="Headband Wig"/>
    <m/>
    <s v="76000"/>
    <s v="59000"/>
    <d v="2026-01-13T00:00:00"/>
    <m/>
    <m/>
    <m/>
    <m/>
  </r>
  <r>
    <x v="6"/>
    <s v="Sharon Akinyemi"/>
    <s v="Bang Wig"/>
    <n v="3"/>
    <s v="38000"/>
    <s v="27000"/>
    <d v="2025-06-13T00:00:00"/>
    <n v="114000"/>
    <n v="81000"/>
    <n v="33000"/>
    <n v="0.28947368421052633"/>
  </r>
  <r>
    <x v="7"/>
    <s v="Amaka Oni"/>
    <s v="Closure Wig"/>
    <n v="2"/>
    <s v="211000"/>
    <s v="161000"/>
    <d v="2025-04-13T00:00:00"/>
    <n v="422000"/>
    <n v="322000"/>
    <n v="100000"/>
    <n v="0.23696682464454977"/>
  </r>
  <r>
    <x v="8"/>
    <s v="Zainab Akinyemi"/>
    <s v="Hd Lace Front Wig"/>
    <n v="1"/>
    <s v="172000"/>
    <s v="127000"/>
    <d v="2025-08-17T00:00:00"/>
    <n v="172000"/>
    <n v="127000"/>
    <n v="45000"/>
    <n v="0.26162790697674421"/>
  </r>
  <r>
    <x v="9"/>
    <s v="Hannah Okafor"/>
    <s v="Skull Cap"/>
    <n v="2"/>
    <s v="4000"/>
    <s v="2000"/>
    <d v="2025-05-07T00:00:00"/>
    <n v="8000"/>
    <n v="4000"/>
    <n v="4000"/>
    <n v="0.5"/>
  </r>
  <r>
    <x v="10"/>
    <s v="Joy Owolabi"/>
    <s v="Hd Lace Front Wig"/>
    <n v="2"/>
    <s v="198000"/>
    <s v="137000"/>
    <d v="2025-11-30T00:00:00"/>
    <n v="396000"/>
    <n v="274000"/>
    <n v="122000"/>
    <n v="0.30808080808080807"/>
  </r>
  <r>
    <x v="11"/>
    <s v="Miriam Umeh"/>
    <s v="Machine Made Wig"/>
    <n v="1"/>
    <s v="71000"/>
    <s v="51000"/>
    <d v="2026-07-29T00:00:00"/>
    <n v="71000"/>
    <n v="51000"/>
    <n v="20000"/>
    <n v="0.28169014084507044"/>
  </r>
  <r>
    <x v="12"/>
    <s v="Ruth Ajayi"/>
    <s v="Human Hair"/>
    <n v="2"/>
    <s v="290000"/>
    <s v="157000"/>
    <d v="2025-11-08T00:00:00"/>
    <n v="580000"/>
    <n v="314000"/>
    <n v="266000"/>
    <n v="0.45862068965517239"/>
  </r>
  <r>
    <x v="13"/>
    <s v="Sophia Olawale"/>
    <s v="Blend Wig"/>
    <n v="1"/>
    <s v="95000"/>
    <s v="68000"/>
    <d v="2026-06-15T00:00:00"/>
    <n v="95000"/>
    <n v="68000"/>
    <n v="27000"/>
    <n v="0.28421052631578947"/>
  </r>
  <r>
    <x v="14"/>
    <s v="Mercy Ibrahim"/>
    <s v="Full Lace Wig"/>
    <n v="5"/>
    <s v="248000"/>
    <s v="169000"/>
    <d v="2026-07-25T00:00:00"/>
    <n v="1240000"/>
    <n v="845000"/>
    <n v="395000"/>
    <n v="0.31854838709677419"/>
  </r>
  <r>
    <x v="15"/>
    <s v="Peace Okafor"/>
    <s v="Bob Wig"/>
    <m/>
    <s v="79000"/>
    <s v="48000"/>
    <d v="2026-04-03T00:00:00"/>
    <m/>
    <m/>
    <m/>
    <m/>
  </r>
  <r>
    <x v="16"/>
    <s v="Tolu Salami"/>
    <s v="360 Lace Wig"/>
    <n v="2"/>
    <s v="139000"/>
    <s v="76000"/>
    <d v="2026-02-26T00:00:00"/>
    <n v="278000"/>
    <n v="152000"/>
    <n v="126000"/>
    <n v="0.45323741007194246"/>
  </r>
  <r>
    <x v="17"/>
    <s v="Victoria Lawal"/>
    <s v="4C Edges Wig"/>
    <n v="3"/>
    <s v="88000"/>
    <s v="65000"/>
    <d v="2026-06-08T00:00:00"/>
    <n v="264000"/>
    <n v="195000"/>
    <n v="69000"/>
    <n v="0.26136363636363635"/>
  </r>
  <r>
    <x v="18"/>
    <s v="Tolu Owolabi"/>
    <s v="Human Hair"/>
    <n v="3"/>
    <s v="168000"/>
    <s v="89,000"/>
    <d v="2025-04-08T00:00:00"/>
    <n v="504000"/>
    <n v="267000"/>
    <n v="237000"/>
    <n v="0.47023809523809523"/>
  </r>
  <r>
    <x v="19"/>
    <s v="Precious Okafor"/>
    <s v="Synthetic Hair"/>
    <n v="1"/>
    <s v="31000"/>
    <s v="19000"/>
    <d v="2025-01-17T00:00:00"/>
    <n v="31000"/>
    <n v="19000"/>
    <n v="12000"/>
    <n v="0.38709677419354838"/>
  </r>
  <r>
    <x v="20"/>
    <s v="Sophia Eze"/>
    <s v="Headband Wig"/>
    <n v="1"/>
    <s v="82000"/>
    <s v="46000"/>
    <d v="2025-10-15T00:00:00"/>
    <n v="82000"/>
    <n v="46000"/>
    <n v="36000"/>
    <n v="0.43902439024390244"/>
  </r>
  <r>
    <x v="21"/>
    <s v="Victoria Salami"/>
    <s v="Bob Wig"/>
    <n v="3"/>
    <s v="94000"/>
    <s v="71000"/>
    <m/>
    <m/>
    <m/>
    <m/>
    <m/>
  </r>
  <r>
    <x v="22"/>
    <s v="Favour Salami"/>
    <s v="Bob Wig"/>
    <n v="1"/>
    <s v="89000"/>
    <s v="49000"/>
    <d v="2025-05-31T00:00:00"/>
    <n v="89000"/>
    <n v="49000"/>
    <n v="40000"/>
    <n v="0.449438202247191"/>
  </r>
  <r>
    <x v="23"/>
    <s v="Mariam Afolabi"/>
    <s v="Bouncy Wig"/>
    <n v="1"/>
    <s v="126000"/>
    <s v="95000"/>
    <d v="2025-02-28T00:00:00"/>
    <n v="126000"/>
    <n v="95000"/>
    <n v="31000"/>
    <n v="0.24603174603174602"/>
  </r>
  <r>
    <x v="24"/>
    <s v="Ifeoma Balogun"/>
    <s v="Braided Wig"/>
    <m/>
    <s v="81000"/>
    <s v="57000"/>
    <d v="2025-02-26T00:00:00"/>
    <m/>
    <m/>
    <m/>
    <m/>
  </r>
  <r>
    <x v="25"/>
    <s v="Precious Salami"/>
    <s v="Braided Wig"/>
    <n v="3"/>
    <s v="99000"/>
    <s v="63000"/>
    <d v="2026-07-13T00:00:00"/>
    <n v="297000"/>
    <n v="189000"/>
    <n v="108000"/>
    <n v="0.36363636363636365"/>
  </r>
  <r>
    <x v="26"/>
    <s v="Favour Ogunleye"/>
    <s v="Bouncy Wig"/>
    <n v="1"/>
    <s v="73000"/>
    <s v="51000"/>
    <d v="2025-08-18T00:00:00"/>
    <n v="73000"/>
    <n v="51000"/>
    <n v="22000"/>
    <n v="0.30136986301369861"/>
  </r>
  <r>
    <x v="27"/>
    <s v="Joy Akinyemi"/>
    <s v="Synthetic Hair"/>
    <n v="2"/>
    <s v="40000"/>
    <s v="26000"/>
    <d v="2025-02-11T00:00:00"/>
    <n v="80000"/>
    <n v="52000"/>
    <n v="28000"/>
    <n v="0.35"/>
  </r>
  <r>
    <x v="28"/>
    <s v="Yetunde Akinyemi"/>
    <s v="Braided Wig"/>
    <n v="1"/>
    <s v="45000"/>
    <s v="27000"/>
    <d v="2025-10-05T00:00:00"/>
    <n v="45000"/>
    <n v="27000"/>
    <n v="18000"/>
    <n v="0.4"/>
  </r>
  <r>
    <x v="29"/>
    <s v="Gift Adebayo"/>
    <s v="Glueless Wig"/>
    <n v="1"/>
    <s v="110000"/>
    <s v="69000"/>
    <d v="2025-05-14T00:00:00"/>
    <n v="110000"/>
    <n v="69000"/>
    <n v="41000"/>
    <n v="0.37272727272727274"/>
  </r>
  <r>
    <x v="30"/>
    <s v="Ruth Afolabi"/>
    <s v="Braided Wig"/>
    <n v="1"/>
    <s v="54000"/>
    <s v="40000"/>
    <d v="2025-10-10T00:00:00"/>
    <n v="54000"/>
    <n v="40000"/>
    <n v="14000"/>
    <n v="0.25925925925925924"/>
  </r>
  <r>
    <x v="31"/>
    <s v="Mariam Umeh"/>
    <s v="Bouncy Wig"/>
    <n v="1"/>
    <s v="90000"/>
    <s v="67000"/>
    <d v="2025-03-20T00:00:00"/>
    <n v="90000"/>
    <n v="67000"/>
    <n v="23000"/>
    <n v="0.25555555555555554"/>
  </r>
  <r>
    <x v="32"/>
    <s v="Sandra Eze"/>
    <s v="Human Hair"/>
    <n v="1"/>
    <s v="124000"/>
    <s v="94000"/>
    <d v="2025-11-14T00:00:00"/>
    <n v="124000"/>
    <n v="94000"/>
    <n v="30000"/>
    <n v="0.24193548387096775"/>
  </r>
  <r>
    <x v="33"/>
    <s v="Teni Balogun"/>
    <s v="Blend Wig"/>
    <n v="1"/>
    <s v="111000"/>
    <s v="67000"/>
    <d v="2025-04-01T00:00:00"/>
    <n v="111000"/>
    <n v="67000"/>
    <n v="44000"/>
    <n v="0.3963963963963964"/>
  </r>
  <r>
    <x v="34"/>
    <s v="Esther Chukwu"/>
    <s v="Bone Straight"/>
    <n v="2"/>
    <s v="153000"/>
    <s v="82000"/>
    <d v="2026-05-15T00:00:00"/>
    <n v="306000"/>
    <n v="164000"/>
    <n v="142000"/>
    <n v="0.46405228758169936"/>
  </r>
  <r>
    <x v="35"/>
    <s v="Favour Owolabi"/>
    <s v="Machine Made Wig"/>
    <n v="4"/>
    <s v="61000"/>
    <s v="34000"/>
    <d v="2026-07-23T00:00:00"/>
    <n v="244000"/>
    <n v="136000"/>
    <n v="108000"/>
    <n v="0.44262295081967212"/>
  </r>
  <r>
    <x v="36"/>
    <s v=""/>
    <s v="Machine Made Wig"/>
    <n v="3"/>
    <s v="48000"/>
    <s v="32000"/>
    <d v="2026-04-14T00:00:00"/>
    <m/>
    <m/>
    <m/>
    <m/>
  </r>
  <r>
    <x v="37"/>
    <s v="Teni Akinyemi"/>
    <s v="Human Hair"/>
    <n v="1"/>
    <s v="253000"/>
    <s v="134000"/>
    <d v="2026-05-15T00:00:00"/>
    <n v="253000"/>
    <n v="134000"/>
    <n v="119000"/>
    <n v="0.47035573122529645"/>
  </r>
  <r>
    <x v="38"/>
    <s v="Ifeoma Olawale"/>
    <s v="Blend Wig"/>
    <n v="1"/>
    <s v="89000"/>
    <s v="59000"/>
    <d v="2025-06-23T00:00:00"/>
    <n v="89000"/>
    <n v="59000"/>
    <n v="30000"/>
    <n v="0.33707865168539325"/>
  </r>
  <r>
    <x v="39"/>
    <s v="Victoria Olawale"/>
    <s v="Blend Wig"/>
    <n v="4"/>
    <s v="64,000"/>
    <s v="48000"/>
    <d v="2026-07-29T00:00:00"/>
    <n v="256000"/>
    <n v="192000"/>
    <n v="64000"/>
    <n v="0.25"/>
  </r>
  <r>
    <x v="40"/>
    <s v="Sandra Eze"/>
    <s v="Pixel Curls"/>
    <n v="1"/>
    <s v="72000"/>
    <s v="53000"/>
    <d v="2026-06-01T00:00:00"/>
    <n v="72000"/>
    <n v="53000"/>
    <n v="19000"/>
    <n v="0.2638888888888889"/>
  </r>
  <r>
    <x v="41"/>
    <s v="Amaka Owolabi"/>
    <s v="Blend Wig"/>
    <n v="1"/>
    <s v="96000"/>
    <s v="52000"/>
    <d v="2025-11-10T00:00:00"/>
    <n v="96000"/>
    <n v="52000"/>
    <n v="44000"/>
    <n v="0.45833333333333331"/>
  </r>
  <r>
    <x v="42"/>
    <s v="Joy Salami"/>
    <s v="Closure Wig"/>
    <n v="1"/>
    <s v="206000"/>
    <s v="115000"/>
    <d v="2025-04-24T00:00:00"/>
    <n v="206000"/>
    <n v="115000"/>
    <n v="91000"/>
    <n v="0.44174757281553401"/>
  </r>
  <r>
    <x v="43"/>
    <s v="Zainab Afolabi"/>
    <s v="Blend Wig"/>
    <n v="1"/>
    <s v="89000"/>
    <s v="62000"/>
    <d v="2025-10-17T00:00:00"/>
    <n v="89000"/>
    <n v="62000"/>
    <n v="27000"/>
    <n v="0.30337078651685395"/>
  </r>
  <r>
    <x v="44"/>
    <s v="Teni Umeh"/>
    <s v="Skull Cap"/>
    <n v="1"/>
    <s v="6000"/>
    <s v="5000"/>
    <d v="2026-04-21T00:00:00"/>
    <n v="6000"/>
    <n v="5000"/>
    <n v="1000"/>
    <n v="0.16666666666666666"/>
  </r>
  <r>
    <x v="45"/>
    <s v="Tolu Eze"/>
    <s v="Skull Cap"/>
    <n v="1"/>
    <s v="8000"/>
    <s v="5000"/>
    <d v="2025-11-18T00:00:00"/>
    <n v="8000"/>
    <n v="5000"/>
    <n v="3000"/>
    <n v="0.375"/>
  </r>
  <r>
    <x v="46"/>
    <s v="Kemi Balogun"/>
    <s v="Machine Made Wig"/>
    <n v="1"/>
    <s v="40000"/>
    <s v="22000"/>
    <d v="2025-07-29T00:00:00"/>
    <n v="40000"/>
    <n v="22000"/>
    <n v="18000"/>
    <n v="0.45"/>
  </r>
  <r>
    <x v="47"/>
    <s v="Ada Akinyemi"/>
    <s v="Machine Made Wig"/>
    <n v="1"/>
    <s v="61000"/>
    <s v="44000"/>
    <d v="2025-02-27T00:00:00"/>
    <n v="61000"/>
    <n v="44000"/>
    <n v="17000"/>
    <n v="0.27868852459016391"/>
  </r>
  <r>
    <x v="48"/>
    <s v="Favour Salami"/>
    <s v="Bone Straight"/>
    <n v="1"/>
    <s v="177000"/>
    <s v="119000"/>
    <d v="2026-05-22T00:00:00"/>
    <n v="177000"/>
    <n v="119000"/>
    <n v="58000"/>
    <n v="0.32768361581920902"/>
  </r>
  <r>
    <x v="49"/>
    <s v="Favour Olawale"/>
    <s v="Braided Wig"/>
    <n v="2"/>
    <s v="49000"/>
    <s v="31000"/>
    <m/>
    <m/>
    <m/>
    <m/>
    <m/>
  </r>
  <r>
    <x v="50"/>
    <s v="Mercy Owolabi"/>
    <s v="Human Hair"/>
    <n v="1"/>
    <s v="291000"/>
    <s v="178000"/>
    <d v="2025-05-08T00:00:00"/>
    <n v="291000"/>
    <n v="178000"/>
    <n v="113000"/>
    <n v="0.38831615120274915"/>
  </r>
  <r>
    <x v="51"/>
    <s v="Nneka Akinyemi"/>
    <s v="Machine Made Wig"/>
    <n v="1"/>
    <s v="58000"/>
    <s v="33000"/>
    <d v="2026-08-03T00:00:00"/>
    <n v="58000"/>
    <n v="33000"/>
    <n v="25000"/>
    <n v="0.43103448275862066"/>
  </r>
  <r>
    <x v="52"/>
    <s v="Gift Akintola"/>
    <s v="Human Hair"/>
    <n v="1"/>
    <s v="₦259,000"/>
    <s v="187000"/>
    <d v="2025-03-19T00:00:00"/>
    <n v="259000"/>
    <n v="187000"/>
    <n v="72000"/>
    <n v="0.27799227799227799"/>
  </r>
  <r>
    <x v="53"/>
    <s v="Precious Ajayi"/>
    <s v="Human Hair"/>
    <n v="1"/>
    <s v="239000"/>
    <s v="133000"/>
    <d v="2025-03-08T00:00:00"/>
    <n v="239000"/>
    <n v="133000"/>
    <n v="106000"/>
    <n v="0.44351464435146443"/>
  </r>
  <r>
    <x v="54"/>
    <s v="Sophia Yusuf"/>
    <s v="Full Lace Wig"/>
    <n v="1"/>
    <s v="189000"/>
    <s v="129000"/>
    <d v="2025-01-05T00:00:00"/>
    <n v="189000"/>
    <n v="129000"/>
    <n v="60000"/>
    <n v="0.31746031746031744"/>
  </r>
  <r>
    <x v="55"/>
    <s v="Victoria Akintola"/>
    <s v="Machine Made Wig"/>
    <m/>
    <s v="72000"/>
    <s v="45000"/>
    <d v="2026-04-07T00:00:00"/>
    <m/>
    <m/>
    <m/>
    <m/>
  </r>
  <r>
    <x v="56"/>
    <s v="Victoria Ajayi"/>
    <s v="4C Edges Wig"/>
    <n v="1"/>
    <s v="48000"/>
    <s v="31000"/>
    <d v="2026-03-31T00:00:00"/>
    <n v="48000"/>
    <n v="31000"/>
    <n v="17000"/>
    <n v="0.35416666666666669"/>
  </r>
  <r>
    <x v="57"/>
    <s v="Teni Ogunleye"/>
    <s v="Human Hair"/>
    <n v="1"/>
    <s v="120000"/>
    <s v="84000"/>
    <d v="2025-11-30T00:00:00"/>
    <n v="120000"/>
    <n v="84000"/>
    <n v="36000"/>
    <n v="0.3"/>
  </r>
  <r>
    <x v="58"/>
    <s v="Peace Ogunleye"/>
    <s v="Human Hair"/>
    <n v="3"/>
    <s v="217000"/>
    <s v="131000"/>
    <m/>
    <m/>
    <m/>
    <m/>
    <m/>
  </r>
  <r>
    <x v="59"/>
    <s v="Precious Umeh"/>
    <s v="Hd Lace Front Wig"/>
    <n v="1"/>
    <s v="206000"/>
    <s v="156000"/>
    <d v="2026-01-10T00:00:00"/>
    <n v="206000"/>
    <n v="156000"/>
    <n v="50000"/>
    <n v="0.24271844660194175"/>
  </r>
  <r>
    <x v="60"/>
    <s v="Teni Balogun"/>
    <s v="Human Hair"/>
    <n v="1"/>
    <s v="182000"/>
    <s v="117000"/>
    <d v="2025-06-28T00:00:00"/>
    <n v="182000"/>
    <n v="117000"/>
    <n v="65000"/>
    <n v="0.35714285714285715"/>
  </r>
  <r>
    <x v="61"/>
    <s v="Teni Eze"/>
    <s v="Bob Wig"/>
    <n v="1"/>
    <s v="108000"/>
    <s v="71000"/>
    <d v="2025-08-21T00:00:00"/>
    <n v="108000"/>
    <n v="71000"/>
    <n v="37000"/>
    <n v="0.34259259259259262"/>
  </r>
  <r>
    <x v="62"/>
    <s v="Ruth Olawale"/>
    <s v="Braided Wig"/>
    <n v="1"/>
    <s v="60000"/>
    <s v="35000"/>
    <d v="2025-12-15T00:00:00"/>
    <n v="60000"/>
    <n v="35000"/>
    <n v="25000"/>
    <n v="0.41666666666666669"/>
  </r>
  <r>
    <x v="63"/>
    <s v="Esther Ibrahim"/>
    <s v="Hd Lace Front Wig"/>
    <n v="2"/>
    <s v="237000"/>
    <s v="146000"/>
    <d v="2026-07-21T00:00:00"/>
    <n v="474000"/>
    <n v="292000"/>
    <n v="182000"/>
    <n v="0.38396624472573837"/>
  </r>
  <r>
    <x v="64"/>
    <s v="Yetunde Ogunleye"/>
    <s v="Blend Wig"/>
    <n v="1"/>
    <s v="62000"/>
    <s v="45000"/>
    <d v="2025-01-25T00:00:00"/>
    <n v="62000"/>
    <n v="45000"/>
    <n v="17000"/>
    <n v="0.27419354838709675"/>
  </r>
  <r>
    <x v="65"/>
    <s v="Janet Lawal"/>
    <s v="Braided Wig"/>
    <n v="1"/>
    <s v="93000"/>
    <s v="59000"/>
    <d v="2026-02-08T00:00:00"/>
    <n v="93000"/>
    <n v="59000"/>
    <n v="34000"/>
    <n v="0.36559139784946237"/>
  </r>
  <r>
    <x v="66"/>
    <s v="Yetunde Ajayi"/>
    <s v="Closure Wig"/>
    <n v="2"/>
    <s v="91000"/>
    <s v="50000"/>
    <d v="2026-03-16T00:00:00"/>
    <n v="182000"/>
    <n v="100000"/>
    <n v="82000"/>
    <n v="0.45054945054945056"/>
  </r>
  <r>
    <x v="67"/>
    <s v="Victoria Afolabi"/>
    <s v="Human Hair"/>
    <n v="1"/>
    <s v="228000"/>
    <s v="167000"/>
    <d v="2026-04-03T00:00:00"/>
    <n v="228000"/>
    <n v="167000"/>
    <n v="61000"/>
    <n v="0.26754385964912281"/>
  </r>
  <r>
    <x v="68"/>
    <s v="Favour Akinyemi"/>
    <s v="Headband Wig"/>
    <n v="1"/>
    <s v="₦ 76,000"/>
    <s v="50000"/>
    <d v="2026-07-10T00:00:00"/>
    <n v="76000"/>
    <n v="50000"/>
    <n v="26000"/>
    <n v="0.34210526315789475"/>
  </r>
  <r>
    <x v="69"/>
    <s v=""/>
    <s v="Human Hair"/>
    <n v="1"/>
    <s v="262000"/>
    <s v="159000"/>
    <d v="2025-08-15T00:00:00"/>
    <m/>
    <m/>
    <m/>
    <m/>
  </r>
  <r>
    <x v="70"/>
    <s v="Blessing Oni"/>
    <s v="Bouncy Wig"/>
    <m/>
    <s v="₦125,000"/>
    <s v="71000"/>
    <d v="2026-01-02T00:00:00"/>
    <m/>
    <m/>
    <m/>
    <m/>
  </r>
  <r>
    <x v="71"/>
    <s v="Gift Akintola"/>
    <s v="Blend Wig"/>
    <n v="1"/>
    <s v="67000"/>
    <s v="51000"/>
    <d v="2025-12-28T00:00:00"/>
    <n v="67000"/>
    <n v="51000"/>
    <n v="16000"/>
    <n v="0.23880597014925373"/>
  </r>
  <r>
    <x v="72"/>
    <s v="Favour Lawal"/>
    <s v="Human Hair ."/>
    <n v="1"/>
    <s v="296000"/>
    <s v="185000"/>
    <d v="2025-10-21T00:00:00"/>
    <n v="296000"/>
    <n v="185000"/>
    <n v="111000"/>
    <n v="0.375"/>
  </r>
  <r>
    <x v="73"/>
    <s v="Teni Ibrahim"/>
    <s v="Pixel Curls"/>
    <n v="1"/>
    <s v="65000"/>
    <s v="48000"/>
    <d v="2025-12-19T00:00:00"/>
    <n v="65000"/>
    <n v="48000"/>
    <n v="17000"/>
    <n v="0.26153846153846155"/>
  </r>
  <r>
    <x v="74"/>
    <s v="Hannah Eze"/>
    <s v="Pixel Curls"/>
    <n v="2"/>
    <s v="49000"/>
    <s v="35000"/>
    <d v="2025-04-07T00:00:00"/>
    <n v="98000"/>
    <n v="70000"/>
    <n v="28000"/>
    <n v="0.2857142857142857"/>
  </r>
  <r>
    <x v="75"/>
    <s v="Janet Chukwu"/>
    <s v="Synthetic Hair"/>
    <n v="1"/>
    <s v="43000"/>
    <s v="23000"/>
    <d v="2025-09-17T00:00:00"/>
    <n v="43000"/>
    <n v="23000"/>
    <n v="20000"/>
    <n v="0.46511627906976744"/>
  </r>
  <r>
    <x v="76"/>
    <s v="Zainab Lawal"/>
    <s v="Bone Straight"/>
    <n v="2"/>
    <s v="124000"/>
    <s v="78000"/>
    <d v="2026-03-30T00:00:00"/>
    <n v="248000"/>
    <n v="156000"/>
    <n v="92000"/>
    <n v="0.37096774193548387"/>
  </r>
  <r>
    <x v="77"/>
    <s v="Victoria Eze"/>
    <s v="Bone Straight"/>
    <n v="1"/>
    <s v="155000"/>
    <s v="113000"/>
    <d v="2025-12-07T00:00:00"/>
    <n v="155000"/>
    <n v="113000"/>
    <n v="42000"/>
    <n v="0.2709677419354839"/>
  </r>
  <r>
    <x v="78"/>
    <s v="Mary Afolabi"/>
    <s v="Machine Made Wig"/>
    <n v="1"/>
    <s v="68000"/>
    <s v="44000"/>
    <d v="2025-10-24T00:00:00"/>
    <n v="68000"/>
    <n v="44000"/>
    <n v="24000"/>
    <n v="0.35294117647058826"/>
  </r>
  <r>
    <x v="79"/>
    <s v="Ifeoma Afolabi"/>
    <s v="Bouncy Wig"/>
    <n v="1"/>
    <s v="81000"/>
    <s v="49000"/>
    <d v="2025-01-14T00:00:00"/>
    <n v="81000"/>
    <n v="49000"/>
    <n v="32000"/>
    <n v="0.39506172839506171"/>
  </r>
  <r>
    <x v="80"/>
    <s v="Yetunde Okeke"/>
    <s v="Bone Straight"/>
    <n v="1"/>
    <s v="₦ 166,000"/>
    <s v="125000"/>
    <d v="2025-12-30T00:00:00"/>
    <n v="166000"/>
    <n v="125000"/>
    <n v="41000"/>
    <n v="0.24698795180722891"/>
  </r>
  <r>
    <x v="81"/>
    <s v="Kemi Okafor"/>
    <s v="Synthetic Hair"/>
    <n v="1"/>
    <s v="22000"/>
    <s v="13000"/>
    <d v="2026-07-14T00:00:00"/>
    <n v="22000"/>
    <n v="13000"/>
    <n v="9000"/>
    <n v="0.40909090909090912"/>
  </r>
  <r>
    <x v="82"/>
    <s v="Ruth Ajayi"/>
    <s v="4C Edges Wig"/>
    <n v="1"/>
    <s v="70000"/>
    <s v="48000"/>
    <d v="2025-06-18T00:00:00"/>
    <n v="70000"/>
    <n v="48000"/>
    <n v="22000"/>
    <n v="0.31428571428571428"/>
  </r>
  <r>
    <x v="83"/>
    <s v="Aisha Okafor"/>
    <s v="Pixel Curls"/>
    <n v="1"/>
    <s v="85000"/>
    <s v="65,000"/>
    <d v="2025-03-18T00:00:00"/>
    <n v="85000"/>
    <n v="65000"/>
    <n v="20000"/>
    <n v="0.23529411764705882"/>
  </r>
  <r>
    <x v="84"/>
    <s v="Victoria Akintola"/>
    <s v="Bone Straight"/>
    <n v="1"/>
    <s v="143000"/>
    <s v="111000"/>
    <m/>
    <m/>
    <m/>
    <m/>
    <m/>
  </r>
  <r>
    <x v="85"/>
    <s v=""/>
    <s v="Bone Straight"/>
    <n v="1"/>
    <s v="164000"/>
    <s v="101000"/>
    <d v="2026-07-02T00:00:00"/>
    <m/>
    <m/>
    <m/>
    <m/>
  </r>
  <r>
    <x v="86"/>
    <s v="Sophia Balogun"/>
    <s v="4C Edges Wig"/>
    <n v="1"/>
    <s v="83000"/>
    <s v="47000"/>
    <d v="2026-05-01T00:00:00"/>
    <n v="83000"/>
    <n v="47000"/>
    <n v="36000"/>
    <n v="0.43373493975903615"/>
  </r>
  <r>
    <x v="87"/>
    <s v="Gift Adeyemi"/>
    <s v="360 Lace Wig"/>
    <n v="1"/>
    <s v="239000"/>
    <s v="160000"/>
    <d v="2025-06-17T00:00:00"/>
    <n v="239000"/>
    <n v="160000"/>
    <n v="79000"/>
    <n v="0.33054393305439328"/>
  </r>
  <r>
    <x v="88"/>
    <s v="Chiamaka Akintola"/>
    <s v="Bouncy Wig"/>
    <n v="1"/>
    <s v="107,000"/>
    <s v="75000"/>
    <d v="2025-08-29T00:00:00"/>
    <n v="107000"/>
    <n v="75000"/>
    <n v="32000"/>
    <n v="0.29906542056074764"/>
  </r>
  <r>
    <x v="89"/>
    <s v="Precious Ibrahim"/>
    <s v="Bouncy Wig"/>
    <n v="1"/>
    <s v="91000"/>
    <s v="54000"/>
    <d v="2026-06-06T00:00:00"/>
    <n v="91000"/>
    <n v="54000"/>
    <n v="37000"/>
    <n v="0.40659340659340659"/>
  </r>
  <r>
    <x v="90"/>
    <s v="Kemi Adebayo"/>
    <s v="Glueless Wig"/>
    <n v="1"/>
    <s v="₦80,000"/>
    <s v="49000"/>
    <d v="2025-07-16T00:00:00"/>
    <n v="80000"/>
    <n v="49000"/>
    <n v="31000"/>
    <n v="0.38750000000000001"/>
  </r>
  <r>
    <x v="91"/>
    <s v="Kemi Lawal"/>
    <s v="Human Hair"/>
    <n v="1"/>
    <s v="233000"/>
    <s v="164000"/>
    <d v="2026-08-10T00:00:00"/>
    <n v="233000"/>
    <n v="164000"/>
    <n v="69000"/>
    <n v="0.29613733905579398"/>
  </r>
  <r>
    <x v="92"/>
    <s v="Ada Lawal"/>
    <s v="Machine Made Wig"/>
    <n v="1"/>
    <s v="45000"/>
    <s v="24000"/>
    <d v="2026-01-24T00:00:00"/>
    <n v="45000"/>
    <n v="24000"/>
    <n v="21000"/>
    <n v="0.46666666666666667"/>
  </r>
  <r>
    <x v="93"/>
    <s v="Sophia Olawale"/>
    <s v="Bouncy Wig"/>
    <n v="1"/>
    <s v="106000"/>
    <s v="77000"/>
    <d v="2025-10-16T00:00:00"/>
    <n v="106000"/>
    <n v="77000"/>
    <n v="29000"/>
    <n v="0.27358490566037735"/>
  </r>
  <r>
    <x v="94"/>
    <s v="Precious Afolabi"/>
    <s v="Blend Wig"/>
    <n v="2"/>
    <s v="88000"/>
    <s v="61000"/>
    <d v="2025-12-07T00:00:00"/>
    <n v="176000"/>
    <n v="122000"/>
    <n v="54000"/>
    <n v="0.30681818181818182"/>
  </r>
  <r>
    <x v="95"/>
    <s v="Ifeoma Adebayo"/>
    <s v="4C Edges Wig"/>
    <n v="1"/>
    <s v="77000"/>
    <s v="45000"/>
    <d v="2025-02-25T00:00:00"/>
    <n v="77000"/>
    <n v="45000"/>
    <n v="32000"/>
    <n v="0.41558441558441561"/>
  </r>
  <r>
    <x v="96"/>
    <s v="Gift Yusuf"/>
    <s v="Bone Straight"/>
    <n v="1"/>
    <s v="173000"/>
    <s v="121000"/>
    <d v="2026-07-11T00:00:00"/>
    <n v="173000"/>
    <n v="121000"/>
    <n v="52000"/>
    <n v="0.30057803468208094"/>
  </r>
  <r>
    <x v="97"/>
    <s v="Kemi Adeyemi"/>
    <s v="Synthetic Hair"/>
    <n v="1"/>
    <s v="₦36,000"/>
    <s v="₦26,000"/>
    <d v="2026-06-21T00:00:00"/>
    <n v="36000"/>
    <n v="26000"/>
    <n v="10000"/>
    <n v="0.27777777777777779"/>
  </r>
  <r>
    <x v="98"/>
    <s v="Deborah Ibrahim"/>
    <s v="Machine Made Wig"/>
    <n v="3"/>
    <s v="43000"/>
    <s v="26000"/>
    <d v="2026-06-29T00:00:00"/>
    <n v="129000"/>
    <n v="78000"/>
    <n v="51000"/>
    <n v="0.39534883720930231"/>
  </r>
  <r>
    <x v="99"/>
    <s v="Joy Akintola"/>
    <s v="Skull Cap"/>
    <n v="2"/>
    <s v="6000"/>
    <s v="4000"/>
    <d v="2026-05-27T00:00:00"/>
    <n v="12000"/>
    <n v="8000"/>
    <n v="4000"/>
    <n v="0.33333333333333331"/>
  </r>
  <r>
    <x v="100"/>
    <s v="Sophia Yusuf"/>
    <s v="Machine Made Wig"/>
    <n v="1"/>
    <s v="73000"/>
    <s v="46000"/>
    <d v="2026-01-29T00:00:00"/>
    <n v="73000"/>
    <n v="46000"/>
    <n v="27000"/>
    <n v="0.36986301369863012"/>
  </r>
  <r>
    <x v="101"/>
    <s v="Esther Olawale"/>
    <s v="Headband Wig"/>
    <n v="1"/>
    <s v="50000"/>
    <s v="37000"/>
    <d v="2025-03-06T00:00:00"/>
    <n v="50000"/>
    <n v="37000"/>
    <n v="13000"/>
    <n v="0.26"/>
  </r>
  <r>
    <x v="102"/>
    <s v="Precious Salami"/>
    <s v="Bone Straight"/>
    <n v="1"/>
    <s v="157000"/>
    <s v="87000"/>
    <d v="2026-02-14T00:00:00"/>
    <n v="157000"/>
    <n v="87000"/>
    <n v="70000"/>
    <n v="0.44585987261146498"/>
  </r>
  <r>
    <x v="103"/>
    <s v="Chiamaka Ibrahim"/>
    <s v="Machine Made Wig"/>
    <n v="1"/>
    <s v="76000"/>
    <s v="43000"/>
    <d v="2025-07-26T00:00:00"/>
    <n v="76000"/>
    <n v="43000"/>
    <n v="33000"/>
    <n v="0.43421052631578949"/>
  </r>
  <r>
    <x v="104"/>
    <s v="Yetunde Okeke"/>
    <s v="Braided Wig"/>
    <n v="1"/>
    <s v="51000"/>
    <s v="27000"/>
    <d v="2025-08-03T00:00:00"/>
    <n v="51000"/>
    <n v="27000"/>
    <n v="24000"/>
    <n v="0.47058823529411764"/>
  </r>
  <r>
    <x v="105"/>
    <s v="Hannah Afolabi"/>
    <s v="360 Lace Wig"/>
    <n v="1"/>
    <s v="117000"/>
    <s v="90000"/>
    <d v="2025-08-31T00:00:00"/>
    <n v="117000"/>
    <n v="90000"/>
    <n v="27000"/>
    <n v="0.23076923076923078"/>
  </r>
  <r>
    <x v="106"/>
    <s v="Chiamaka Ogunleye"/>
    <s v="Hd Lace Front Wig"/>
    <n v="1"/>
    <s v="181000"/>
    <s v="110000"/>
    <d v="2026-05-04T00:00:00"/>
    <n v="181000"/>
    <n v="110000"/>
    <n v="71000"/>
    <n v="0.39226519337016574"/>
  </r>
  <r>
    <x v="107"/>
    <s v="Victoria Akintola"/>
    <s v="Machine Made Wig"/>
    <n v="1"/>
    <s v="85000"/>
    <s v="46000"/>
    <d v="2025-05-18T00:00:00"/>
    <n v="85000"/>
    <n v="46000"/>
    <n v="39000"/>
    <n v="0.45882352941176469"/>
  </r>
  <r>
    <x v="108"/>
    <s v="Favour Oni"/>
    <s v="Glueless Wig"/>
    <n v="2"/>
    <s v="126000"/>
    <s v="95000"/>
    <d v="2026-02-19T00:00:00"/>
    <n v="252000"/>
    <n v="190000"/>
    <n v="62000"/>
    <n v="0.24603174603174602"/>
  </r>
  <r>
    <x v="109"/>
    <s v="Blessing Owolabi"/>
    <s v="Human Hair"/>
    <n v="2"/>
    <s v="145000"/>
    <s v="84000"/>
    <d v="2025-06-24T00:00:00"/>
    <n v="290000"/>
    <n v="168000"/>
    <n v="122000"/>
    <n v="0.4206896551724138"/>
  </r>
  <r>
    <x v="110"/>
    <s v="Gift Adebayo"/>
    <s v="Bone Straight"/>
    <n v="1"/>
    <s v="₦97,000"/>
    <s v="₦67,000"/>
    <m/>
    <m/>
    <m/>
    <m/>
    <m/>
  </r>
  <r>
    <x v="111"/>
    <s v="Miriam Adeyemi"/>
    <s v="Glueless Wig"/>
    <n v="1"/>
    <s v="189000"/>
    <s v="120000"/>
    <d v="2025-04-10T00:00:00"/>
    <n v="189000"/>
    <n v="120000"/>
    <n v="69000"/>
    <n v="0.36507936507936506"/>
  </r>
  <r>
    <x v="112"/>
    <s v="Sophia Chukwu"/>
    <s v="Full Lace Wig"/>
    <n v="1"/>
    <s v="306000"/>
    <s v="162000"/>
    <d v="2025-08-09T00:00:00"/>
    <n v="306000"/>
    <n v="162000"/>
    <n v="144000"/>
    <n v="0.47058823529411764"/>
  </r>
  <r>
    <x v="113"/>
    <s v="Victoria Adebayo"/>
    <s v="4C Edges Wig"/>
    <n v="1"/>
    <s v="₦ 82,000"/>
    <s v="56000"/>
    <d v="2026-05-28T00:00:00"/>
    <n v="82000"/>
    <n v="56000"/>
    <n v="26000"/>
    <n v="0.31707317073170732"/>
  </r>
  <r>
    <x v="114"/>
    <s v=""/>
    <s v="Blend Wig"/>
    <n v="3"/>
    <s v="65000"/>
    <s v="41000"/>
    <d v="2025-09-18T00:00:00"/>
    <m/>
    <m/>
    <m/>
    <m/>
  </r>
  <r>
    <x v="115"/>
    <s v=""/>
    <s v="Bone Straight"/>
    <n v="2"/>
    <s v="140000"/>
    <s v="105000"/>
    <d v="2026-06-28T00:00:00"/>
    <m/>
    <m/>
    <m/>
    <m/>
  </r>
  <r>
    <x v="116"/>
    <s v=""/>
    <s v="Bouncy Wig"/>
    <n v="1"/>
    <s v="75000"/>
    <s v="55000"/>
    <d v="2025-01-07T00:00:00"/>
    <m/>
    <m/>
    <m/>
    <m/>
  </r>
  <r>
    <x v="117"/>
    <s v="Ifeoma Olawale"/>
    <s v="Closure Wig"/>
    <n v="1"/>
    <s v="104000"/>
    <s v="75000"/>
    <d v="2025-10-06T00:00:00"/>
    <n v="104000"/>
    <n v="75000"/>
    <n v="29000"/>
    <n v="0.27884615384615385"/>
  </r>
  <r>
    <x v="118"/>
    <s v="Sharon Chukwu"/>
    <s v="Headband Wig"/>
    <n v="3"/>
    <s v="69000"/>
    <s v="41000"/>
    <d v="2026-01-12T00:00:00"/>
    <n v="207000"/>
    <n v="123000"/>
    <n v="84000"/>
    <n v="0.40579710144927539"/>
  </r>
  <r>
    <x v="119"/>
    <s v="Yetunde Owolabi"/>
    <s v="Bouncy Wig"/>
    <n v="2"/>
    <s v="97000"/>
    <s v="₦64,000"/>
    <d v="2025-10-26T00:00:00"/>
    <n v="194000"/>
    <n v="128000"/>
    <n v="66000"/>
    <n v="0.34020618556701032"/>
  </r>
  <r>
    <x v="120"/>
    <s v="Teni Okeke"/>
    <s v="Glueless Wig"/>
    <n v="1"/>
    <s v="116000"/>
    <s v="67000"/>
    <d v="2025-08-17T00:00:00"/>
    <n v="116000"/>
    <n v="67000"/>
    <n v="49000"/>
    <n v="0.42241379310344829"/>
  </r>
  <r>
    <x v="121"/>
    <s v="Joy Oni"/>
    <s v="Blend Wig"/>
    <n v="1"/>
    <s v="58000"/>
    <s v="44000"/>
    <d v="2025-04-25T00:00:00"/>
    <n v="58000"/>
    <n v="44000"/>
    <n v="14000"/>
    <n v="0.2413793103448276"/>
  </r>
  <r>
    <x v="122"/>
    <s v="Chiamaka Ajayi"/>
    <s v="Closure Wig"/>
    <n v="1"/>
    <s v="96000"/>
    <s v="56000"/>
    <d v="2026-07-17T00:00:00"/>
    <n v="96000"/>
    <n v="56000"/>
    <n v="40000"/>
    <n v="0.41666666666666669"/>
  </r>
  <r>
    <x v="123"/>
    <s v="Joy Afolabi"/>
    <s v="Synthetic Hair"/>
    <n v="1"/>
    <s v="23000"/>
    <s v="13000"/>
    <d v="2025-05-30T00:00:00"/>
    <n v="23000"/>
    <n v="13000"/>
    <n v="10000"/>
    <n v="0.43478260869565216"/>
  </r>
  <r>
    <x v="124"/>
    <s v="Sophia Oni"/>
    <s v="Synthetic Hair"/>
    <n v="3"/>
    <s v="21000"/>
    <s v="14000"/>
    <d v="2025-02-26T00:00:00"/>
    <n v="63000"/>
    <n v="42000"/>
    <n v="21000"/>
    <n v="0.33333333333333331"/>
  </r>
  <r>
    <x v="125"/>
    <s v="Joy Eze"/>
    <s v="Blend Wig"/>
    <n v="1"/>
    <s v="79000"/>
    <s v="47000"/>
    <d v="2025-06-05T00:00:00"/>
    <n v="79000"/>
    <n v="47000"/>
    <n v="32000"/>
    <n v="0.4050632911392405"/>
  </r>
  <r>
    <x v="126"/>
    <s v="Hannah Salami"/>
    <s v="Closure Wig"/>
    <n v="3"/>
    <s v="119,000"/>
    <s v="88000"/>
    <d v="2025-05-03T00:00:00"/>
    <n v="357000"/>
    <n v="264000"/>
    <n v="93000"/>
    <n v="0.26050420168067229"/>
  </r>
  <r>
    <x v="127"/>
    <s v="Miriam Akintola"/>
    <s v="Hd Lace Front Wig"/>
    <n v="2"/>
    <s v="214000"/>
    <s v="149,000"/>
    <d v="2025-07-20T00:00:00"/>
    <n v="428000"/>
    <n v="298000"/>
    <n v="130000"/>
    <n v="0.30373831775700932"/>
  </r>
  <r>
    <x v="128"/>
    <s v="Miriam Lawal"/>
    <s v="Full Lace Wig"/>
    <n v="2"/>
    <s v="317000"/>
    <s v="204000"/>
    <d v="2025-04-21T00:00:00"/>
    <n v="634000"/>
    <n v="408000"/>
    <n v="226000"/>
    <n v="0.35646687697160884"/>
  </r>
  <r>
    <x v="129"/>
    <s v="Victoria Oni"/>
    <s v="Braided Wig"/>
    <n v="1"/>
    <s v="₦ 89,000"/>
    <s v="64000"/>
    <d v="2025-02-18T00:00:00"/>
    <n v="89000"/>
    <n v="64000"/>
    <n v="25000"/>
    <n v="0.2808988764044944"/>
  </r>
  <r>
    <x v="130"/>
    <s v="Sandra Okafor"/>
    <s v="Closure Wig"/>
    <n v="1"/>
    <s v="170000"/>
    <s v="91000"/>
    <d v="2025-09-06T00:00:00"/>
    <n v="170000"/>
    <n v="91000"/>
    <n v="79000"/>
    <n v="0.46470588235294119"/>
  </r>
  <r>
    <x v="131"/>
    <s v="Nneka Oni"/>
    <s v="Hd Lace Front Wig"/>
    <n v="1"/>
    <s v="223000"/>
    <s v="121000"/>
    <d v="2026-05-23T00:00:00"/>
    <n v="223000"/>
    <n v="121000"/>
    <n v="102000"/>
    <n v="0.45739910313901344"/>
  </r>
  <r>
    <x v="132"/>
    <s v="Sophia Chukwu"/>
    <s v="Braided Wig"/>
    <n v="3"/>
    <s v="72000"/>
    <s v="38000"/>
    <d v="2025-11-20T00:00:00"/>
    <n v="216000"/>
    <n v="114000"/>
    <n v="102000"/>
    <n v="0.47222222222222221"/>
  </r>
  <r>
    <x v="133"/>
    <s v="Victoria Okafor"/>
    <s v="Bouncy Wig"/>
    <n v="1"/>
    <s v="126000"/>
    <s v="67000"/>
    <d v="2025-05-02T00:00:00"/>
    <n v="126000"/>
    <n v="67000"/>
    <n v="59000"/>
    <n v="0.46825396825396826"/>
  </r>
  <r>
    <x v="134"/>
    <s v="Ruth Akintola"/>
    <s v="Closure Wig"/>
    <n v="2"/>
    <s v="154000"/>
    <s v="93000"/>
    <d v="2025-04-14T00:00:00"/>
    <n v="308000"/>
    <n v="186000"/>
    <n v="122000"/>
    <n v="0.39610389610389612"/>
  </r>
  <r>
    <x v="135"/>
    <s v="Miriam Umeh"/>
    <s v="Braided Wig"/>
    <n v="2"/>
    <s v="98000"/>
    <s v="66000"/>
    <d v="2025-08-18T00:00:00"/>
    <n v="196000"/>
    <n v="132000"/>
    <n v="64000"/>
    <n v="0.32653061224489793"/>
  </r>
  <r>
    <x v="136"/>
    <s v="Peace Afolabi"/>
    <s v="Bang Wig."/>
    <n v="1"/>
    <s v="66000"/>
    <s v="47000"/>
    <d v="2026-03-10T00:00:00"/>
    <n v="66000"/>
    <n v="47000"/>
    <n v="19000"/>
    <n v="0.2878787878787879"/>
  </r>
  <r>
    <x v="137"/>
    <s v="Peace Akintola"/>
    <s v="Blend Wig"/>
    <n v="1"/>
    <s v="111000"/>
    <s v="84000"/>
    <d v="2025-03-13T00:00:00"/>
    <n v="111000"/>
    <n v="84000"/>
    <n v="27000"/>
    <n v="0.24324324324324326"/>
  </r>
  <r>
    <x v="138"/>
    <s v="Gift Adebayo"/>
    <s v="Blend Wig"/>
    <n v="1"/>
    <s v="61000"/>
    <s v="46000"/>
    <d v="2025-01-08T00:00:00"/>
    <n v="61000"/>
    <n v="46000"/>
    <n v="15000"/>
    <n v="0.24590163934426229"/>
  </r>
  <r>
    <x v="139"/>
    <s v="Janet Owolabi"/>
    <s v="Braided Wig"/>
    <n v="1"/>
    <s v="97000"/>
    <s v="63000"/>
    <d v="2025-06-10T00:00:00"/>
    <n v="97000"/>
    <n v="63000"/>
    <n v="34000"/>
    <n v="0.35051546391752575"/>
  </r>
  <r>
    <x v="140"/>
    <s v="Janet Ajayi"/>
    <s v="Closure Wig"/>
    <n v="2"/>
    <s v="₦ 157,000"/>
    <s v="99000"/>
    <d v="2025-09-01T00:00:00"/>
    <n v="314000"/>
    <n v="198000"/>
    <n v="116000"/>
    <n v="0.36942675159235666"/>
  </r>
  <r>
    <x v="141"/>
    <s v="Tolu Akinyemi"/>
    <s v="Braided Wig"/>
    <n v="1"/>
    <s v="60000"/>
    <s v="41000"/>
    <d v="2025-11-10T00:00:00"/>
    <n v="60000"/>
    <n v="41000"/>
    <n v="19000"/>
    <n v="0.31666666666666665"/>
  </r>
  <r>
    <x v="142"/>
    <s v="Hannah Okeke"/>
    <s v="Closure Wig"/>
    <n v="2"/>
    <s v="97000"/>
    <s v="75000"/>
    <d v="2026-01-23T00:00:00"/>
    <n v="194000"/>
    <n v="150000"/>
    <n v="44000"/>
    <n v="0.22680412371134021"/>
  </r>
  <r>
    <x v="143"/>
    <s v="Sophia Okafor"/>
    <s v="Closure Wig"/>
    <n v="1"/>
    <s v="177000"/>
    <s v="125000"/>
    <d v="2025-04-19T00:00:00"/>
    <n v="177000"/>
    <n v="125000"/>
    <n v="52000"/>
    <n v="0.29378531073446329"/>
  </r>
  <r>
    <x v="144"/>
    <s v="Hannah Ajayi"/>
    <s v="Skull Cap"/>
    <n v="1"/>
    <s v="7000"/>
    <s v="4000"/>
    <d v="2025-07-22T00:00:00"/>
    <n v="7000"/>
    <n v="4000"/>
    <n v="3000"/>
    <n v="0.42857142857142855"/>
  </r>
  <r>
    <x v="145"/>
    <s v="Teni Balogun"/>
    <s v="Headband Wig"/>
    <n v="4"/>
    <s v="50000"/>
    <s v="28000"/>
    <d v="2026-03-03T00:00:00"/>
    <n v="200000"/>
    <n v="112000"/>
    <n v="88000"/>
    <n v="0.44"/>
  </r>
  <r>
    <x v="146"/>
    <s v="Yetunde Akintola"/>
    <s v="Bob Wig"/>
    <n v="1"/>
    <s v="62000"/>
    <s v="33000"/>
    <d v="2025-03-17T00:00:00"/>
    <n v="62000"/>
    <n v="33000"/>
    <n v="29000"/>
    <n v="0.46774193548387094"/>
  </r>
  <r>
    <x v="147"/>
    <s v="Joy Oni"/>
    <s v="Machine Made Wig"/>
    <n v="1"/>
    <s v="36000"/>
    <s v="27000"/>
    <d v="2026-04-14T00:00:00"/>
    <n v="36000"/>
    <n v="27000"/>
    <n v="9000"/>
    <n v="0.25"/>
  </r>
  <r>
    <x v="148"/>
    <s v="Ruth Akinyemi"/>
    <s v="Bone Straight"/>
    <n v="1"/>
    <s v="153000"/>
    <s v="114000"/>
    <d v="2026-03-10T00:00:00"/>
    <n v="153000"/>
    <n v="114000"/>
    <n v="39000"/>
    <n v="0.25490196078431371"/>
  </r>
  <r>
    <x v="149"/>
    <s v="Aisha Adeyemi"/>
    <s v="Closure Wig"/>
    <n v="4"/>
    <s v="101000"/>
    <s v="73000"/>
    <d v="2025-08-02T00:00:00"/>
    <n v="404000"/>
    <n v="292000"/>
    <n v="112000"/>
    <n v="0.27722772277227725"/>
  </r>
  <r>
    <x v="150"/>
    <s v="Yetunde Akintola"/>
    <s v="Machine Made Wig"/>
    <n v="1"/>
    <s v="70000"/>
    <s v="54000"/>
    <d v="2026-07-17T00:00:00"/>
    <n v="70000"/>
    <n v="54000"/>
    <n v="16000"/>
    <n v="0.22857142857142856"/>
  </r>
  <r>
    <x v="151"/>
    <s v="Janet Lawal"/>
    <s v="Braided Wig"/>
    <n v="1"/>
    <s v="93000"/>
    <s v="59000"/>
    <d v="2026-02-08T00:00:00"/>
    <n v="93000"/>
    <n v="59000"/>
    <n v="34000"/>
    <n v="0.36559139784946237"/>
  </r>
  <r>
    <x v="152"/>
    <s v="Teni Owolabi"/>
    <s v="Bob Wig"/>
    <n v="1"/>
    <s v="50000"/>
    <s v="26000"/>
    <d v="2025-10-24T00:00:00"/>
    <n v="50000"/>
    <n v="26000"/>
    <n v="24000"/>
    <n v="0.48"/>
  </r>
  <r>
    <x v="153"/>
    <s v="Janet Balogun"/>
    <s v="Braided Wig"/>
    <n v="2"/>
    <s v="69000"/>
    <s v="49000"/>
    <d v="2026-01-19T00:00:00"/>
    <n v="138000"/>
    <n v="98000"/>
    <n v="40000"/>
    <n v="0.28985507246376813"/>
  </r>
  <r>
    <x v="154"/>
    <s v="Favour Ajayi"/>
    <s v="Bob Wig"/>
    <n v="1"/>
    <s v="101000"/>
    <s v="64000"/>
    <d v="2026-07-30T00:00:00"/>
    <n v="101000"/>
    <n v="64000"/>
    <n v="37000"/>
    <n v="0.36633663366336633"/>
  </r>
  <r>
    <x v="155"/>
    <s v="Precious Eze"/>
    <s v="Human Hair"/>
    <n v="2"/>
    <s v="170000"/>
    <s v="129,000"/>
    <d v="2025-04-19T00:00:00"/>
    <n v="340000"/>
    <n v="258000"/>
    <n v="82000"/>
    <n v="0.2411764705882353"/>
  </r>
  <r>
    <x v="156"/>
    <s v="Zainab Olawale"/>
    <s v="Glueless Wig"/>
    <n v="1"/>
    <s v="96000"/>
    <s v="50000"/>
    <d v="2026-08-05T00:00:00"/>
    <n v="96000"/>
    <n v="50000"/>
    <n v="46000"/>
    <n v="0.47916666666666669"/>
  </r>
  <r>
    <x v="157"/>
    <s v="Miriam Okeke"/>
    <s v="Closure Wig"/>
    <n v="1"/>
    <s v="147000"/>
    <s v="82000"/>
    <m/>
    <m/>
    <m/>
    <m/>
    <m/>
  </r>
  <r>
    <x v="158"/>
    <s v="Nneka Umeh"/>
    <s v="Synthetic Hair"/>
    <n v="1"/>
    <s v="29000"/>
    <s v="₦20,000"/>
    <d v="2025-04-01T00:00:00"/>
    <n v="29000"/>
    <n v="20000"/>
    <n v="9000"/>
    <n v="0.31034482758620691"/>
  </r>
  <r>
    <x v="159"/>
    <s v="Janet Balogun"/>
    <s v="Closure Wig"/>
    <n v="1"/>
    <s v="145000"/>
    <s v="96000"/>
    <d v="2025-05-02T00:00:00"/>
    <n v="145000"/>
    <n v="96000"/>
    <n v="49000"/>
    <n v="0.33793103448275863"/>
  </r>
  <r>
    <x v="160"/>
    <s v="Precious Afolabi"/>
    <s v="Synthetic Hair"/>
    <n v="3"/>
    <s v="39000"/>
    <s v="28000"/>
    <d v="2025-06-29T00:00:00"/>
    <n v="117000"/>
    <n v="84000"/>
    <n v="33000"/>
    <n v="0.28205128205128205"/>
  </r>
  <r>
    <x v="161"/>
    <s v="Janet Eze"/>
    <s v="Bouncy Wig"/>
    <n v="1"/>
    <s v="139000"/>
    <s v="93000"/>
    <d v="2025-05-26T00:00:00"/>
    <n v="139000"/>
    <n v="93000"/>
    <n v="46000"/>
    <n v="0.33093525179856115"/>
  </r>
  <r>
    <x v="162"/>
    <s v="Gift Adebayo"/>
    <s v="Braided Wig"/>
    <n v="4"/>
    <s v="61000"/>
    <s v="45000"/>
    <d v="2025-04-26T00:00:00"/>
    <n v="244000"/>
    <n v="180000"/>
    <n v="64000"/>
    <n v="0.26229508196721313"/>
  </r>
  <r>
    <x v="163"/>
    <s v="Gift Okeke"/>
    <s v="Human Hair"/>
    <n v="1"/>
    <s v="144000"/>
    <s v="101000"/>
    <d v="2025-06-10T00:00:00"/>
    <n v="144000"/>
    <n v="101000"/>
    <n v="43000"/>
    <n v="0.2986111111111111"/>
  </r>
  <r>
    <x v="164"/>
    <s v="Zainab Lawal"/>
    <s v="Blend Wig"/>
    <n v="1"/>
    <s v="70000"/>
    <s v="43000"/>
    <d v="2026-10-06T00:00:00"/>
    <n v="70000"/>
    <n v="43000"/>
    <n v="27000"/>
    <n v="0.38571428571428573"/>
  </r>
  <r>
    <x v="165"/>
    <s v="Mary Adeyemi"/>
    <s v="Machine Made Wig"/>
    <n v="1"/>
    <s v="56000"/>
    <s v="42,000"/>
    <d v="2025-10-01T00:00:00"/>
    <n v="56000"/>
    <n v="42000"/>
    <n v="14000"/>
    <n v="0.25"/>
  </r>
  <r>
    <x v="166"/>
    <s v="Mary Owolabi"/>
    <s v="Bang Wig"/>
    <n v="1"/>
    <s v="47000"/>
    <s v="36000"/>
    <d v="2025-09-03T00:00:00"/>
    <n v="47000"/>
    <n v="36000"/>
    <n v="11000"/>
    <n v="0.23404255319148937"/>
  </r>
  <r>
    <x v="167"/>
    <s v="Zainab Ajayi"/>
    <s v="Bouncy Wig"/>
    <n v="1"/>
    <s v="131000"/>
    <s v="86000"/>
    <d v="2026-04-17T00:00:00"/>
    <n v="131000"/>
    <n v="86000"/>
    <n v="45000"/>
    <n v="0.34351145038167941"/>
  </r>
  <r>
    <x v="168"/>
    <s v="Mercy Chukwu"/>
    <s v="4C Edges Wig"/>
    <n v="1"/>
    <s v="78000"/>
    <s v="55000"/>
    <d v="2025-06-12T00:00:00"/>
    <n v="78000"/>
    <n v="55000"/>
    <n v="23000"/>
    <n v="0.29487179487179488"/>
  </r>
  <r>
    <x v="169"/>
    <s v="Gift Adeyemi"/>
    <s v="Skull Cap"/>
    <n v="2"/>
    <s v="6000"/>
    <s v="4000"/>
    <d v="2025-10-21T00:00:00"/>
    <n v="12000"/>
    <n v="8000"/>
    <n v="4000"/>
    <n v="0.33333333333333331"/>
  </r>
  <r>
    <x v="170"/>
    <s v="Aisha Yusuf"/>
    <s v="360 Lace Wig"/>
    <n v="3"/>
    <s v="215000"/>
    <s v="140000"/>
    <d v="2025-11-09T00:00:00"/>
    <n v="645000"/>
    <n v="420000"/>
    <n v="225000"/>
    <n v="0.34883720930232559"/>
  </r>
  <r>
    <x v="171"/>
    <s v="Gift Chukwu"/>
    <s v="Human Hair"/>
    <n v="1"/>
    <s v="228000"/>
    <s v="149000"/>
    <d v="2026-06-13T00:00:00"/>
    <n v="228000"/>
    <n v="149000"/>
    <n v="79000"/>
    <n v="0.34649122807017546"/>
  </r>
  <r>
    <x v="172"/>
    <s v="Ruth Ajayi"/>
    <s v="Human Hair"/>
    <n v="2"/>
    <s v="290000"/>
    <s v="157000"/>
    <d v="2025-11-08T00:00:00"/>
    <n v="580000"/>
    <n v="314000"/>
    <n v="266000"/>
    <n v="0.45862068965517239"/>
  </r>
  <r>
    <x v="173"/>
    <s v="Ruth Eze"/>
    <s v="Pixel Curls"/>
    <n v="1"/>
    <s v="66000"/>
    <s v="38000"/>
    <d v="2025-10-05T00:00:00"/>
    <n v="66000"/>
    <n v="38000"/>
    <n v="28000"/>
    <n v="0.42424242424242425"/>
  </r>
  <r>
    <x v="174"/>
    <s v="Chiamaka Salami"/>
    <s v="Pixel Curls"/>
    <n v="2"/>
    <s v="48000"/>
    <s v="31000"/>
    <d v="2025-04-20T00:00:00"/>
    <n v="96000"/>
    <n v="62000"/>
    <n v="34000"/>
    <n v="0.35416666666666669"/>
  </r>
  <r>
    <x v="175"/>
    <s v="Chiamaka Adebayo"/>
    <s v="Pixel Curls"/>
    <n v="1"/>
    <s v="68000"/>
    <s v="43000"/>
    <d v="2025-11-16T00:00:00"/>
    <n v="68000"/>
    <n v="43000"/>
    <n v="25000"/>
    <n v="0.36764705882352944"/>
  </r>
  <r>
    <x v="176"/>
    <s v="Mary Okeke"/>
    <s v="Machine Made Wig"/>
    <n v="1"/>
    <s v="68000"/>
    <s v="51000"/>
    <d v="2026-06-14T00:00:00"/>
    <n v="68000"/>
    <n v="51000"/>
    <n v="17000"/>
    <n v="0.25"/>
  </r>
  <r>
    <x v="177"/>
    <s v="Mary Owolabi"/>
    <s v="Bang Wig"/>
    <n v="1"/>
    <s v="47000"/>
    <s v="36000"/>
    <d v="2025-09-03T00:00:00"/>
    <n v="47000"/>
    <n v="36000"/>
    <n v="11000"/>
    <n v="0.23404255319148937"/>
  </r>
  <r>
    <x v="178"/>
    <s v="Chiamaka Ogunleye"/>
    <s v="Closure Wig"/>
    <n v="1"/>
    <s v="95000"/>
    <s v="73000"/>
    <d v="2025-08-03T00:00:00"/>
    <n v="95000"/>
    <n v="73000"/>
    <n v="22000"/>
    <n v="0.23157894736842105"/>
  </r>
  <r>
    <x v="179"/>
    <s v="Ifeoma Adeyemi"/>
    <s v="Closure Wig"/>
    <n v="2"/>
    <s v="192000"/>
    <s v="116000"/>
    <d v="2025-05-03T00:00:00"/>
    <n v="384000"/>
    <n v="232000"/>
    <n v="152000"/>
    <n v="0.39583333333333331"/>
  </r>
  <r>
    <x v="180"/>
    <s v="Sharon Owolabi"/>
    <s v="Synthetic Hair"/>
    <n v="1"/>
    <s v="22000"/>
    <s v="14000"/>
    <d v="2026-07-23T00:00:00"/>
    <n v="22000"/>
    <n v="14000"/>
    <n v="8000"/>
    <n v="0.36363636363636365"/>
  </r>
  <r>
    <x v="181"/>
    <s v="Favour Akintola"/>
    <s v="Bang Wig"/>
    <n v="2"/>
    <s v="42000"/>
    <s v="24000"/>
    <d v="2026-05-04T00:00:00"/>
    <n v="84000"/>
    <n v="48000"/>
    <n v="36000"/>
    <n v="0.42857142857142855"/>
  </r>
  <r>
    <x v="182"/>
    <s v="Mariam Afolabi"/>
    <s v="Bone Straight"/>
    <n v="1"/>
    <s v="157000"/>
    <s v="84000"/>
    <d v="2026-04-07T00:00:00"/>
    <n v="157000"/>
    <n v="84000"/>
    <n v="73000"/>
    <n v="0.46496815286624205"/>
  </r>
  <r>
    <x v="183"/>
    <s v="Amaka Ibrahim"/>
    <s v="Pixel Curls"/>
    <n v="1"/>
    <s v="57000"/>
    <s v="39000"/>
    <d v="2025-12-30T00:00:00"/>
    <n v="57000"/>
    <n v="39000"/>
    <n v="18000"/>
    <n v="0.31578947368421051"/>
  </r>
  <r>
    <x v="184"/>
    <s v="Blessing Owolabi"/>
    <s v="Synthetic Hair"/>
    <n v="1"/>
    <s v="43000"/>
    <s v="29000"/>
    <d v="2026-01-17T00:00:00"/>
    <n v="43000"/>
    <n v="29000"/>
    <n v="14000"/>
    <n v="0.32558139534883723"/>
  </r>
  <r>
    <x v="185"/>
    <s v="Favour Okafor"/>
    <s v="Hd Lace Front Wig"/>
    <n v="2"/>
    <s v="211000"/>
    <s v="117000"/>
    <d v="2025-06-26T00:00:00"/>
    <n v="422000"/>
    <n v="234000"/>
    <n v="188000"/>
    <n v="0.44549763033175355"/>
  </r>
  <r>
    <x v="186"/>
    <s v="Blessing Adeyemi"/>
    <s v="Bob Wig"/>
    <n v="2"/>
    <s v="68000"/>
    <s v="45000"/>
    <d v="2025-09-07T00:00:00"/>
    <n v="136000"/>
    <n v="90000"/>
    <n v="46000"/>
    <n v="0.33823529411764708"/>
  </r>
  <r>
    <x v="187"/>
    <s v="Aisha Yusuf"/>
    <s v="360 Lace Wig"/>
    <n v="1"/>
    <s v="228000"/>
    <s v="123000"/>
    <d v="2025-03-28T00:00:00"/>
    <n v="228000"/>
    <n v="123000"/>
    <n v="105000"/>
    <n v="0.46052631578947367"/>
  </r>
  <r>
    <x v="188"/>
    <s v=""/>
    <s v="Bob Wig"/>
    <n v="1"/>
    <s v="84000"/>
    <s v="46000"/>
    <d v="2025-06-22T00:00:00"/>
    <m/>
    <m/>
    <m/>
    <m/>
  </r>
  <r>
    <x v="189"/>
    <s v="Aisha Oni"/>
    <s v="360 Lace Wig"/>
    <m/>
    <s v="190000"/>
    <s v="145000"/>
    <d v="2025-01-24T00:00:00"/>
    <m/>
    <m/>
    <m/>
    <m/>
  </r>
  <r>
    <x v="190"/>
    <s v=""/>
    <s v="Bone Straight"/>
    <n v="1"/>
    <s v="139000"/>
    <s v="107000"/>
    <d v="2025-02-01T00:00:00"/>
    <m/>
    <m/>
    <m/>
    <m/>
  </r>
  <r>
    <x v="191"/>
    <s v="Kemi Umeh"/>
    <s v="Closure Wig"/>
    <n v="3"/>
    <s v="180000"/>
    <s v="104000"/>
    <d v="2025-06-12T00:00:00"/>
    <n v="540000"/>
    <n v="312000"/>
    <n v="228000"/>
    <n v="0.42222222222222222"/>
  </r>
  <r>
    <x v="192"/>
    <s v="Nneka Lawal"/>
    <s v="Closure Wig"/>
    <n v="3"/>
    <s v="130000"/>
    <s v="99000"/>
    <d v="2026-03-15T00:00:00"/>
    <n v="390000"/>
    <n v="297000"/>
    <n v="93000"/>
    <n v="0.23846153846153847"/>
  </r>
  <r>
    <x v="193"/>
    <s v="Amaka Eze"/>
    <s v="Machine Made Wig"/>
    <n v="1"/>
    <s v="54000"/>
    <s v="34000"/>
    <d v="2025-05-01T00:00:00"/>
    <n v="54000"/>
    <n v="34000"/>
    <n v="20000"/>
    <n v="0.37037037037037035"/>
  </r>
  <r>
    <x v="194"/>
    <s v="Sandra Lawal"/>
    <s v="Bouncy Wig"/>
    <n v="1"/>
    <s v="138000"/>
    <s v="95000"/>
    <d v="2025-01-27T00:00:00"/>
    <n v="138000"/>
    <n v="95000"/>
    <n v="43000"/>
    <n v="0.31159420289855072"/>
  </r>
  <r>
    <x v="195"/>
    <s v="Blessing Chukwu"/>
    <s v="Synthetic Hair"/>
    <n v="1"/>
    <s v="32000"/>
    <s v="23000"/>
    <d v="2025-11-24T00:00:00"/>
    <n v="32000"/>
    <n v="23000"/>
    <n v="9000"/>
    <n v="0.28125"/>
  </r>
  <r>
    <x v="196"/>
    <s v="Ada Yusuf"/>
    <s v="Skull Cap"/>
    <n v="1"/>
    <s v="7000"/>
    <s v="4000"/>
    <d v="2025-07-19T00:00:00"/>
    <n v="7000"/>
    <n v="4000"/>
    <n v="3000"/>
    <n v="0.42857142857142855"/>
  </r>
  <r>
    <x v="197"/>
    <s v="Gift Ogunleye"/>
    <s v="Machine Made Wig"/>
    <n v="1"/>
    <s v="64000"/>
    <s v="49000"/>
    <d v="2025-07-26T00:00:00"/>
    <n v="64000"/>
    <n v="49000"/>
    <n v="15000"/>
    <n v="0.234375"/>
  </r>
  <r>
    <x v="198"/>
    <s v="Precious Adebayo"/>
    <s v="4C Edges Wig"/>
    <n v="1"/>
    <s v="62000"/>
    <s v="45000"/>
    <d v="2025-02-05T00:00:00"/>
    <n v="62000"/>
    <n v="45000"/>
    <n v="17000"/>
    <n v="0.27419354838709675"/>
  </r>
  <r>
    <x v="199"/>
    <s v="Zainab Akinyemi"/>
    <s v="Full Lace Wig"/>
    <n v="1"/>
    <s v="334000"/>
    <s v="183000"/>
    <d v="2026-04-06T00:00:00"/>
    <n v="334000"/>
    <n v="183000"/>
    <n v="151000"/>
    <n v="0.45209580838323354"/>
  </r>
  <r>
    <x v="200"/>
    <s v="Nneka Ogunleye"/>
    <s v="Pixel Curls"/>
    <n v="2"/>
    <s v="59000"/>
    <s v="31000"/>
    <d v="2025-01-26T00:00:00"/>
    <n v="118000"/>
    <n v="62000"/>
    <n v="56000"/>
    <n v="0.47457627118644069"/>
  </r>
  <r>
    <x v="201"/>
    <s v="Precious Ajayi"/>
    <s v="Human Hair"/>
    <n v="1"/>
    <s v="239000"/>
    <s v="133000"/>
    <d v="2025-03-08T00:00:00"/>
    <n v="239000"/>
    <n v="133000"/>
    <n v="106000"/>
    <n v="0.44351464435146443"/>
  </r>
  <r>
    <x v="202"/>
    <s v="Yetunde Lawal"/>
    <s v="Full Lace Wig"/>
    <n v="3"/>
    <s v="275000"/>
    <s v="213000"/>
    <m/>
    <m/>
    <m/>
    <m/>
    <m/>
  </r>
  <r>
    <x v="203"/>
    <s v="Sophia Lawal"/>
    <s v="Pixel Curls"/>
    <n v="1"/>
    <s v="62000"/>
    <s v="₦48,000"/>
    <d v="2025-12-18T00:00:00"/>
    <n v="62000"/>
    <n v="48000"/>
    <n v="14000"/>
    <n v="0.22580645161290322"/>
  </r>
  <r>
    <x v="204"/>
    <s v="Yetunde Ajayi"/>
    <s v="Closure Wig"/>
    <n v="2"/>
    <s v="91000"/>
    <s v="50000"/>
    <d v="2026-03-16T00:00:00"/>
    <n v="182000"/>
    <n v="100000"/>
    <n v="82000"/>
    <n v="0.45054945054945056"/>
  </r>
  <r>
    <x v="205"/>
    <s v="Miriam Akintola"/>
    <s v="Skull Cap"/>
    <n v="1"/>
    <s v="5000"/>
    <s v="4000"/>
    <d v="2025-10-12T00:00:00"/>
    <n v="5000"/>
    <n v="4000"/>
    <n v="1000"/>
    <n v="0.2"/>
  </r>
  <r>
    <x v="206"/>
    <s v="Chiamaka Balogun"/>
    <s v="Hd Lace Front Wig"/>
    <n v="2"/>
    <s v="133000"/>
    <s v="78000"/>
    <d v="2026-03-13T00:00:00"/>
    <n v="266000"/>
    <n v="156000"/>
    <n v="110000"/>
    <n v="0.41353383458646614"/>
  </r>
  <r>
    <x v="207"/>
    <s v="Blessing Ogunleye"/>
    <s v="Closure Wig"/>
    <n v="1"/>
    <s v="167000"/>
    <s v="93000"/>
    <d v="2025-02-16T00:00:00"/>
    <n v="167000"/>
    <n v="93000"/>
    <n v="74000"/>
    <n v="0.44311377245508982"/>
  </r>
  <r>
    <x v="208"/>
    <s v="Sandra Ajayi"/>
    <s v="Skull Cap"/>
    <n v="1"/>
    <s v="7000"/>
    <s v="4000"/>
    <d v="2026-07-23T00:00:00"/>
    <n v="7000"/>
    <n v="4000"/>
    <n v="3000"/>
    <n v="0.42857142857142855"/>
  </r>
  <r>
    <x v="209"/>
    <s v="Kemi Akinyemi"/>
    <s v="Closure Wig"/>
    <n v="1"/>
    <s v="184000"/>
    <s v="121000"/>
    <d v="2025-09-12T00:00:00"/>
    <n v="184000"/>
    <n v="121000"/>
    <n v="63000"/>
    <n v="0.34239130434782611"/>
  </r>
  <r>
    <x v="210"/>
    <m/>
    <m/>
    <m/>
    <m/>
    <m/>
    <m/>
    <m/>
    <m/>
    <m/>
    <m/>
  </r>
  <r>
    <x v="210"/>
    <m/>
    <m/>
    <m/>
    <m/>
    <m/>
    <m/>
    <m/>
    <m/>
    <m/>
    <m/>
  </r>
  <r>
    <x v="210"/>
    <m/>
    <m/>
    <m/>
    <m/>
    <m/>
    <m/>
    <m/>
    <m/>
    <m/>
    <m/>
  </r>
  <r>
    <x v="211"/>
    <m/>
    <m/>
    <m/>
    <m/>
    <m/>
    <m/>
    <m/>
    <m/>
    <m/>
    <m/>
  </r>
  <r>
    <x v="210"/>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5">
  <r>
    <x v="0"/>
    <n v="1"/>
  </r>
  <r>
    <x v="1"/>
    <n v="2"/>
  </r>
  <r>
    <x v="2"/>
    <n v="1"/>
  </r>
  <r>
    <x v="3"/>
    <n v="1"/>
  </r>
  <r>
    <x v="4"/>
    <n v="1"/>
  </r>
  <r>
    <x v="5"/>
    <m/>
  </r>
  <r>
    <x v="6"/>
    <n v="3"/>
  </r>
  <r>
    <x v="2"/>
    <n v="2"/>
  </r>
  <r>
    <x v="1"/>
    <n v="1"/>
  </r>
  <r>
    <x v="7"/>
    <n v="2"/>
  </r>
  <r>
    <x v="1"/>
    <n v="2"/>
  </r>
  <r>
    <x v="8"/>
    <n v="1"/>
  </r>
  <r>
    <x v="0"/>
    <n v="2"/>
  </r>
  <r>
    <x v="3"/>
    <n v="1"/>
  </r>
  <r>
    <x v="4"/>
    <n v="5"/>
  </r>
  <r>
    <x v="9"/>
    <m/>
  </r>
  <r>
    <x v="10"/>
    <n v="2"/>
  </r>
  <r>
    <x v="11"/>
    <n v="3"/>
  </r>
  <r>
    <x v="0"/>
    <n v="3"/>
  </r>
  <r>
    <x v="12"/>
    <n v="1"/>
  </r>
  <r>
    <x v="5"/>
    <n v="1"/>
  </r>
  <r>
    <x v="9"/>
    <n v="3"/>
  </r>
  <r>
    <x v="9"/>
    <n v="1"/>
  </r>
  <r>
    <x v="13"/>
    <n v="1"/>
  </r>
  <r>
    <x v="14"/>
    <m/>
  </r>
  <r>
    <x v="14"/>
    <n v="3"/>
  </r>
  <r>
    <x v="13"/>
    <n v="1"/>
  </r>
  <r>
    <x v="12"/>
    <n v="2"/>
  </r>
  <r>
    <x v="14"/>
    <n v="1"/>
  </r>
  <r>
    <x v="15"/>
    <n v="1"/>
  </r>
  <r>
    <x v="14"/>
    <n v="1"/>
  </r>
  <r>
    <x v="13"/>
    <n v="1"/>
  </r>
  <r>
    <x v="0"/>
    <n v="1"/>
  </r>
  <r>
    <x v="3"/>
    <n v="1"/>
  </r>
  <r>
    <x v="16"/>
    <n v="2"/>
  </r>
  <r>
    <x v="8"/>
    <n v="4"/>
  </r>
  <r>
    <x v="8"/>
    <n v="3"/>
  </r>
  <r>
    <x v="0"/>
    <n v="1"/>
  </r>
  <r>
    <x v="3"/>
    <n v="1"/>
  </r>
  <r>
    <x v="3"/>
    <n v="4"/>
  </r>
  <r>
    <x v="17"/>
    <n v="1"/>
  </r>
  <r>
    <x v="3"/>
    <n v="1"/>
  </r>
  <r>
    <x v="2"/>
    <n v="1"/>
  </r>
  <r>
    <x v="3"/>
    <n v="1"/>
  </r>
  <r>
    <x v="7"/>
    <n v="1"/>
  </r>
  <r>
    <x v="7"/>
    <n v="1"/>
  </r>
  <r>
    <x v="8"/>
    <n v="1"/>
  </r>
  <r>
    <x v="8"/>
    <n v="1"/>
  </r>
  <r>
    <x v="16"/>
    <n v="1"/>
  </r>
  <r>
    <x v="14"/>
    <n v="2"/>
  </r>
  <r>
    <x v="0"/>
    <n v="1"/>
  </r>
  <r>
    <x v="8"/>
    <n v="1"/>
  </r>
  <r>
    <x v="0"/>
    <n v="1"/>
  </r>
  <r>
    <x v="0"/>
    <n v="1"/>
  </r>
  <r>
    <x v="4"/>
    <n v="1"/>
  </r>
  <r>
    <x v="8"/>
    <m/>
  </r>
  <r>
    <x v="11"/>
    <n v="1"/>
  </r>
  <r>
    <x v="0"/>
    <n v="1"/>
  </r>
  <r>
    <x v="0"/>
    <n v="3"/>
  </r>
  <r>
    <x v="1"/>
    <n v="1"/>
  </r>
  <r>
    <x v="0"/>
    <n v="1"/>
  </r>
  <r>
    <x v="9"/>
    <n v="1"/>
  </r>
  <r>
    <x v="14"/>
    <n v="1"/>
  </r>
  <r>
    <x v="1"/>
    <n v="2"/>
  </r>
  <r>
    <x v="3"/>
    <n v="1"/>
  </r>
  <r>
    <x v="14"/>
    <n v="1"/>
  </r>
  <r>
    <x v="2"/>
    <n v="2"/>
  </r>
  <r>
    <x v="0"/>
    <n v="1"/>
  </r>
  <r>
    <x v="5"/>
    <n v="1"/>
  </r>
  <r>
    <x v="0"/>
    <n v="1"/>
  </r>
  <r>
    <x v="13"/>
    <m/>
  </r>
  <r>
    <x v="3"/>
    <n v="1"/>
  </r>
  <r>
    <x v="18"/>
    <n v="1"/>
  </r>
  <r>
    <x v="17"/>
    <n v="1"/>
  </r>
  <r>
    <x v="17"/>
    <n v="2"/>
  </r>
  <r>
    <x v="12"/>
    <n v="1"/>
  </r>
  <r>
    <x v="16"/>
    <n v="2"/>
  </r>
  <r>
    <x v="16"/>
    <n v="1"/>
  </r>
  <r>
    <x v="8"/>
    <n v="1"/>
  </r>
  <r>
    <x v="13"/>
    <n v="1"/>
  </r>
  <r>
    <x v="16"/>
    <n v="1"/>
  </r>
  <r>
    <x v="12"/>
    <n v="1"/>
  </r>
  <r>
    <x v="11"/>
    <n v="1"/>
  </r>
  <r>
    <x v="17"/>
    <n v="1"/>
  </r>
  <r>
    <x v="16"/>
    <n v="1"/>
  </r>
  <r>
    <x v="16"/>
    <n v="1"/>
  </r>
  <r>
    <x v="11"/>
    <n v="1"/>
  </r>
  <r>
    <x v="10"/>
    <n v="1"/>
  </r>
  <r>
    <x v="13"/>
    <n v="1"/>
  </r>
  <r>
    <x v="13"/>
    <n v="1"/>
  </r>
  <r>
    <x v="15"/>
    <n v="1"/>
  </r>
  <r>
    <x v="0"/>
    <n v="1"/>
  </r>
  <r>
    <x v="8"/>
    <n v="1"/>
  </r>
  <r>
    <x v="13"/>
    <n v="1"/>
  </r>
  <r>
    <x v="3"/>
    <n v="2"/>
  </r>
  <r>
    <x v="11"/>
    <n v="1"/>
  </r>
  <r>
    <x v="16"/>
    <n v="1"/>
  </r>
  <r>
    <x v="12"/>
    <n v="1"/>
  </r>
  <r>
    <x v="8"/>
    <n v="3"/>
  </r>
  <r>
    <x v="7"/>
    <n v="2"/>
  </r>
  <r>
    <x v="8"/>
    <n v="1"/>
  </r>
  <r>
    <x v="5"/>
    <n v="1"/>
  </r>
  <r>
    <x v="16"/>
    <n v="1"/>
  </r>
  <r>
    <x v="8"/>
    <n v="1"/>
  </r>
  <r>
    <x v="14"/>
    <n v="1"/>
  </r>
  <r>
    <x v="10"/>
    <n v="1"/>
  </r>
  <r>
    <x v="1"/>
    <n v="1"/>
  </r>
  <r>
    <x v="8"/>
    <n v="1"/>
  </r>
  <r>
    <x v="15"/>
    <n v="2"/>
  </r>
  <r>
    <x v="0"/>
    <n v="2"/>
  </r>
  <r>
    <x v="16"/>
    <n v="1"/>
  </r>
  <r>
    <x v="15"/>
    <n v="1"/>
  </r>
  <r>
    <x v="4"/>
    <n v="1"/>
  </r>
  <r>
    <x v="11"/>
    <n v="1"/>
  </r>
  <r>
    <x v="3"/>
    <n v="3"/>
  </r>
  <r>
    <x v="16"/>
    <n v="2"/>
  </r>
  <r>
    <x v="13"/>
    <n v="1"/>
  </r>
  <r>
    <x v="2"/>
    <n v="1"/>
  </r>
  <r>
    <x v="5"/>
    <n v="3"/>
  </r>
  <r>
    <x v="13"/>
    <n v="2"/>
  </r>
  <r>
    <x v="15"/>
    <n v="1"/>
  </r>
  <r>
    <x v="3"/>
    <n v="1"/>
  </r>
  <r>
    <x v="2"/>
    <n v="1"/>
  </r>
  <r>
    <x v="12"/>
    <n v="1"/>
  </r>
  <r>
    <x v="12"/>
    <n v="3"/>
  </r>
  <r>
    <x v="3"/>
    <n v="1"/>
  </r>
  <r>
    <x v="2"/>
    <n v="3"/>
  </r>
  <r>
    <x v="1"/>
    <n v="2"/>
  </r>
  <r>
    <x v="4"/>
    <n v="2"/>
  </r>
  <r>
    <x v="14"/>
    <n v="1"/>
  </r>
  <r>
    <x v="2"/>
    <n v="1"/>
  </r>
  <r>
    <x v="1"/>
    <n v="1"/>
  </r>
  <r>
    <x v="14"/>
    <n v="3"/>
  </r>
  <r>
    <x v="13"/>
    <n v="1"/>
  </r>
  <r>
    <x v="2"/>
    <n v="2"/>
  </r>
  <r>
    <x v="14"/>
    <n v="2"/>
  </r>
  <r>
    <x v="19"/>
    <n v="1"/>
  </r>
  <r>
    <x v="3"/>
    <n v="1"/>
  </r>
  <r>
    <x v="3"/>
    <n v="1"/>
  </r>
  <r>
    <x v="14"/>
    <n v="1"/>
  </r>
  <r>
    <x v="2"/>
    <n v="2"/>
  </r>
  <r>
    <x v="14"/>
    <n v="1"/>
  </r>
  <r>
    <x v="2"/>
    <n v="2"/>
  </r>
  <r>
    <x v="2"/>
    <n v="1"/>
  </r>
  <r>
    <x v="7"/>
    <n v="1"/>
  </r>
  <r>
    <x v="5"/>
    <n v="4"/>
  </r>
  <r>
    <x v="9"/>
    <n v="1"/>
  </r>
  <r>
    <x v="8"/>
    <n v="1"/>
  </r>
  <r>
    <x v="16"/>
    <n v="1"/>
  </r>
  <r>
    <x v="2"/>
    <n v="4"/>
  </r>
  <r>
    <x v="8"/>
    <n v="1"/>
  </r>
  <r>
    <x v="14"/>
    <n v="1"/>
  </r>
  <r>
    <x v="9"/>
    <n v="1"/>
  </r>
  <r>
    <x v="14"/>
    <n v="2"/>
  </r>
  <r>
    <x v="9"/>
    <n v="1"/>
  </r>
  <r>
    <x v="0"/>
    <n v="2"/>
  </r>
  <r>
    <x v="15"/>
    <n v="1"/>
  </r>
  <r>
    <x v="2"/>
    <n v="1"/>
  </r>
  <r>
    <x v="12"/>
    <n v="1"/>
  </r>
  <r>
    <x v="2"/>
    <n v="1"/>
  </r>
  <r>
    <x v="12"/>
    <n v="3"/>
  </r>
  <r>
    <x v="13"/>
    <n v="1"/>
  </r>
  <r>
    <x v="14"/>
    <n v="4"/>
  </r>
  <r>
    <x v="0"/>
    <n v="1"/>
  </r>
  <r>
    <x v="3"/>
    <n v="1"/>
  </r>
  <r>
    <x v="8"/>
    <n v="1"/>
  </r>
  <r>
    <x v="6"/>
    <n v="1"/>
  </r>
  <r>
    <x v="13"/>
    <n v="1"/>
  </r>
  <r>
    <x v="11"/>
    <n v="1"/>
  </r>
  <r>
    <x v="7"/>
    <n v="2"/>
  </r>
  <r>
    <x v="10"/>
    <n v="3"/>
  </r>
  <r>
    <x v="0"/>
    <n v="1"/>
  </r>
  <r>
    <x v="0"/>
    <n v="2"/>
  </r>
  <r>
    <x v="17"/>
    <n v="1"/>
  </r>
  <r>
    <x v="17"/>
    <n v="2"/>
  </r>
  <r>
    <x v="17"/>
    <n v="1"/>
  </r>
  <r>
    <x v="8"/>
    <n v="1"/>
  </r>
  <r>
    <x v="6"/>
    <n v="1"/>
  </r>
  <r>
    <x v="2"/>
    <n v="1"/>
  </r>
  <r>
    <x v="2"/>
    <n v="2"/>
  </r>
  <r>
    <x v="12"/>
    <n v="1"/>
  </r>
  <r>
    <x v="6"/>
    <n v="2"/>
  </r>
  <r>
    <x v="16"/>
    <n v="1"/>
  </r>
  <r>
    <x v="17"/>
    <n v="1"/>
  </r>
  <r>
    <x v="12"/>
    <n v="1"/>
  </r>
  <r>
    <x v="1"/>
    <n v="2"/>
  </r>
  <r>
    <x v="9"/>
    <n v="2"/>
  </r>
  <r>
    <x v="10"/>
    <n v="1"/>
  </r>
  <r>
    <x v="9"/>
    <n v="1"/>
  </r>
  <r>
    <x v="10"/>
    <m/>
  </r>
  <r>
    <x v="16"/>
    <n v="1"/>
  </r>
  <r>
    <x v="2"/>
    <n v="3"/>
  </r>
  <r>
    <x v="2"/>
    <n v="3"/>
  </r>
  <r>
    <x v="8"/>
    <n v="1"/>
  </r>
  <r>
    <x v="13"/>
    <n v="1"/>
  </r>
  <r>
    <x v="12"/>
    <n v="1"/>
  </r>
  <r>
    <x v="7"/>
    <n v="1"/>
  </r>
  <r>
    <x v="8"/>
    <n v="1"/>
  </r>
  <r>
    <x v="11"/>
    <n v="1"/>
  </r>
  <r>
    <x v="4"/>
    <n v="1"/>
  </r>
  <r>
    <x v="17"/>
    <n v="2"/>
  </r>
  <r>
    <x v="0"/>
    <n v="1"/>
  </r>
  <r>
    <x v="4"/>
    <n v="3"/>
  </r>
  <r>
    <x v="17"/>
    <n v="1"/>
  </r>
  <r>
    <x v="2"/>
    <n v="2"/>
  </r>
  <r>
    <x v="7"/>
    <n v="1"/>
  </r>
  <r>
    <x v="1"/>
    <n v="2"/>
  </r>
  <r>
    <x v="2"/>
    <n v="1"/>
  </r>
  <r>
    <x v="7"/>
    <n v="1"/>
  </r>
  <r>
    <x v="2"/>
    <n v="1"/>
  </r>
  <r>
    <x v="20"/>
    <m/>
  </r>
  <r>
    <x v="20"/>
    <m/>
  </r>
  <r>
    <x v="20"/>
    <m/>
  </r>
  <r>
    <x v="20"/>
    <m/>
  </r>
  <r>
    <x v="20"/>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5">
  <r>
    <x v="0"/>
    <n v="1"/>
    <s v="206000"/>
    <s v="118000"/>
    <d v="2026-07-08T00:00:00"/>
    <n v="206000"/>
  </r>
  <r>
    <x v="1"/>
    <n v="2"/>
    <s v="154000"/>
    <s v="116000"/>
    <d v="2026-01-06T00:00:00"/>
    <n v="308000"/>
  </r>
  <r>
    <x v="2"/>
    <n v="1"/>
    <s v="111000"/>
    <s v="68000"/>
    <d v="2025-02-25T00:00:00"/>
    <n v="111000"/>
  </r>
  <r>
    <x v="3"/>
    <n v="1"/>
    <s v="64000"/>
    <s v="36000"/>
    <d v="2026-03-08T00:00:00"/>
    <n v="64000"/>
  </r>
  <r>
    <x v="4"/>
    <n v="1"/>
    <s v="238,000"/>
    <s v="141000"/>
    <d v="2025-05-03T00:00:00"/>
    <n v="238000"/>
  </r>
  <r>
    <x v="5"/>
    <m/>
    <s v="76000"/>
    <s v="59000"/>
    <d v="2026-01-13T00:00:00"/>
    <m/>
  </r>
  <r>
    <x v="6"/>
    <n v="3"/>
    <s v="38000"/>
    <s v="27000"/>
    <d v="2025-06-13T00:00:00"/>
    <n v="114000"/>
  </r>
  <r>
    <x v="2"/>
    <n v="2"/>
    <s v="211000"/>
    <s v="161000"/>
    <d v="2025-04-13T00:00:00"/>
    <n v="422000"/>
  </r>
  <r>
    <x v="1"/>
    <n v="1"/>
    <s v="172000"/>
    <s v="127000"/>
    <d v="2025-08-17T00:00:00"/>
    <n v="172000"/>
  </r>
  <r>
    <x v="7"/>
    <n v="2"/>
    <s v="4000"/>
    <s v="2000"/>
    <d v="2025-05-07T00:00:00"/>
    <n v="8000"/>
  </r>
  <r>
    <x v="1"/>
    <n v="2"/>
    <s v="198000"/>
    <s v="137000"/>
    <d v="2025-11-30T00:00:00"/>
    <n v="396000"/>
  </r>
  <r>
    <x v="8"/>
    <n v="1"/>
    <s v="71000"/>
    <s v="51000"/>
    <d v="2026-07-29T00:00:00"/>
    <n v="71000"/>
  </r>
  <r>
    <x v="0"/>
    <n v="2"/>
    <s v="290000"/>
    <s v="157000"/>
    <d v="2025-11-08T00:00:00"/>
    <n v="580000"/>
  </r>
  <r>
    <x v="3"/>
    <n v="1"/>
    <s v="95000"/>
    <s v="68000"/>
    <d v="2026-06-15T00:00:00"/>
    <n v="95000"/>
  </r>
  <r>
    <x v="4"/>
    <n v="5"/>
    <s v="248000"/>
    <s v="169000"/>
    <d v="2026-07-25T00:00:00"/>
    <n v="1240000"/>
  </r>
  <r>
    <x v="9"/>
    <m/>
    <s v="79000"/>
    <s v="48000"/>
    <d v="2026-04-03T00:00:00"/>
    <m/>
  </r>
  <r>
    <x v="10"/>
    <n v="2"/>
    <s v="139000"/>
    <s v="76000"/>
    <d v="2026-02-26T00:00:00"/>
    <n v="278000"/>
  </r>
  <r>
    <x v="11"/>
    <n v="3"/>
    <s v="88000"/>
    <s v="65000"/>
    <d v="2026-06-08T00:00:00"/>
    <n v="264000"/>
  </r>
  <r>
    <x v="0"/>
    <n v="3"/>
    <s v="168000"/>
    <s v="89,000"/>
    <d v="2025-04-08T00:00:00"/>
    <n v="504000"/>
  </r>
  <r>
    <x v="12"/>
    <n v="1"/>
    <s v="31000"/>
    <s v="19000"/>
    <d v="2025-01-17T00:00:00"/>
    <n v="31000"/>
  </r>
  <r>
    <x v="5"/>
    <n v="1"/>
    <s v="82000"/>
    <s v="46000"/>
    <d v="2025-10-15T00:00:00"/>
    <n v="82000"/>
  </r>
  <r>
    <x v="9"/>
    <n v="3"/>
    <s v="94000"/>
    <s v="71000"/>
    <m/>
    <m/>
  </r>
  <r>
    <x v="9"/>
    <n v="1"/>
    <s v="89000"/>
    <s v="49000"/>
    <d v="2025-05-31T00:00:00"/>
    <n v="89000"/>
  </r>
  <r>
    <x v="13"/>
    <n v="1"/>
    <s v="126000"/>
    <s v="95000"/>
    <d v="2025-02-28T00:00:00"/>
    <n v="126000"/>
  </r>
  <r>
    <x v="14"/>
    <m/>
    <s v="81000"/>
    <s v="57000"/>
    <d v="2025-02-26T00:00:00"/>
    <m/>
  </r>
  <r>
    <x v="14"/>
    <n v="3"/>
    <s v="99000"/>
    <s v="63000"/>
    <d v="2026-07-13T00:00:00"/>
    <n v="297000"/>
  </r>
  <r>
    <x v="13"/>
    <n v="1"/>
    <s v="73000"/>
    <s v="51000"/>
    <d v="2025-08-18T00:00:00"/>
    <n v="73000"/>
  </r>
  <r>
    <x v="12"/>
    <n v="2"/>
    <s v="40000"/>
    <s v="26000"/>
    <d v="2025-02-11T00:00:00"/>
    <n v="80000"/>
  </r>
  <r>
    <x v="14"/>
    <n v="1"/>
    <s v="45000"/>
    <s v="27000"/>
    <d v="2025-10-05T00:00:00"/>
    <n v="45000"/>
  </r>
  <r>
    <x v="15"/>
    <n v="1"/>
    <s v="110000"/>
    <s v="69000"/>
    <d v="2025-05-14T00:00:00"/>
    <n v="110000"/>
  </r>
  <r>
    <x v="14"/>
    <n v="1"/>
    <s v="54000"/>
    <s v="40000"/>
    <d v="2025-10-10T00:00:00"/>
    <n v="54000"/>
  </r>
  <r>
    <x v="13"/>
    <n v="1"/>
    <s v="90000"/>
    <s v="67000"/>
    <d v="2025-03-20T00:00:00"/>
    <n v="90000"/>
  </r>
  <r>
    <x v="0"/>
    <n v="1"/>
    <s v="124000"/>
    <s v="94000"/>
    <d v="2025-11-14T00:00:00"/>
    <n v="124000"/>
  </r>
  <r>
    <x v="3"/>
    <n v="1"/>
    <s v="111000"/>
    <s v="67000"/>
    <d v="2025-04-01T00:00:00"/>
    <n v="111000"/>
  </r>
  <r>
    <x v="16"/>
    <n v="2"/>
    <s v="153000"/>
    <s v="82000"/>
    <d v="2026-05-15T00:00:00"/>
    <n v="306000"/>
  </r>
  <r>
    <x v="8"/>
    <n v="4"/>
    <s v="61000"/>
    <s v="34000"/>
    <d v="2026-07-23T00:00:00"/>
    <n v="244000"/>
  </r>
  <r>
    <x v="8"/>
    <n v="3"/>
    <s v="48000"/>
    <s v="32000"/>
    <d v="2026-04-14T00:00:00"/>
    <m/>
  </r>
  <r>
    <x v="0"/>
    <n v="1"/>
    <s v="253000"/>
    <s v="134000"/>
    <d v="2026-05-15T00:00:00"/>
    <n v="253000"/>
  </r>
  <r>
    <x v="3"/>
    <n v="1"/>
    <s v="89000"/>
    <s v="59000"/>
    <d v="2025-06-23T00:00:00"/>
    <n v="89000"/>
  </r>
  <r>
    <x v="3"/>
    <n v="4"/>
    <s v="64,000"/>
    <s v="48000"/>
    <d v="2026-07-29T00:00:00"/>
    <n v="256000"/>
  </r>
  <r>
    <x v="17"/>
    <n v="1"/>
    <s v="72000"/>
    <s v="53000"/>
    <d v="2026-06-01T00:00:00"/>
    <n v="72000"/>
  </r>
  <r>
    <x v="3"/>
    <n v="1"/>
    <s v="96000"/>
    <s v="52000"/>
    <d v="2025-11-10T00:00:00"/>
    <n v="96000"/>
  </r>
  <r>
    <x v="2"/>
    <n v="1"/>
    <s v="206000"/>
    <s v="115000"/>
    <d v="2025-04-24T00:00:00"/>
    <n v="206000"/>
  </r>
  <r>
    <x v="3"/>
    <n v="1"/>
    <s v="89000"/>
    <s v="62000"/>
    <d v="2025-10-17T00:00:00"/>
    <n v="89000"/>
  </r>
  <r>
    <x v="7"/>
    <n v="1"/>
    <s v="6000"/>
    <s v="5000"/>
    <d v="2026-04-21T00:00:00"/>
    <n v="6000"/>
  </r>
  <r>
    <x v="7"/>
    <n v="1"/>
    <s v="8000"/>
    <s v="5000"/>
    <d v="2025-11-18T00:00:00"/>
    <n v="8000"/>
  </r>
  <r>
    <x v="8"/>
    <n v="1"/>
    <s v="40000"/>
    <s v="22000"/>
    <d v="2025-07-29T00:00:00"/>
    <n v="40000"/>
  </r>
  <r>
    <x v="8"/>
    <n v="1"/>
    <s v="61000"/>
    <s v="44000"/>
    <d v="2025-02-27T00:00:00"/>
    <n v="61000"/>
  </r>
  <r>
    <x v="16"/>
    <n v="1"/>
    <s v="177000"/>
    <s v="119000"/>
    <d v="2026-05-22T00:00:00"/>
    <n v="177000"/>
  </r>
  <r>
    <x v="14"/>
    <n v="2"/>
    <s v="49000"/>
    <s v="31000"/>
    <m/>
    <m/>
  </r>
  <r>
    <x v="0"/>
    <n v="1"/>
    <s v="291000"/>
    <s v="178000"/>
    <d v="2025-05-08T00:00:00"/>
    <n v="291000"/>
  </r>
  <r>
    <x v="8"/>
    <n v="1"/>
    <s v="58000"/>
    <s v="33000"/>
    <d v="2026-08-03T00:00:00"/>
    <n v="58000"/>
  </r>
  <r>
    <x v="0"/>
    <n v="1"/>
    <s v="₦259,000"/>
    <s v="187000"/>
    <d v="2025-03-19T00:00:00"/>
    <n v="259000"/>
  </r>
  <r>
    <x v="0"/>
    <n v="1"/>
    <s v="239000"/>
    <s v="133000"/>
    <d v="2025-03-08T00:00:00"/>
    <n v="239000"/>
  </r>
  <r>
    <x v="4"/>
    <n v="1"/>
    <s v="189000"/>
    <s v="129000"/>
    <d v="2025-01-05T00:00:00"/>
    <n v="189000"/>
  </r>
  <r>
    <x v="8"/>
    <m/>
    <s v="72000"/>
    <s v="45000"/>
    <d v="2026-04-07T00:00:00"/>
    <m/>
  </r>
  <r>
    <x v="11"/>
    <n v="1"/>
    <s v="48000"/>
    <s v="31000"/>
    <d v="2026-03-31T00:00:00"/>
    <n v="48000"/>
  </r>
  <r>
    <x v="0"/>
    <n v="1"/>
    <s v="120000"/>
    <s v="84000"/>
    <d v="2025-11-30T00:00:00"/>
    <n v="120000"/>
  </r>
  <r>
    <x v="0"/>
    <n v="3"/>
    <s v="217000"/>
    <s v="131000"/>
    <m/>
    <m/>
  </r>
  <r>
    <x v="1"/>
    <n v="1"/>
    <s v="206000"/>
    <s v="156000"/>
    <d v="2026-01-10T00:00:00"/>
    <n v="206000"/>
  </r>
  <r>
    <x v="0"/>
    <n v="1"/>
    <s v="182000"/>
    <s v="117000"/>
    <d v="2025-06-28T00:00:00"/>
    <n v="182000"/>
  </r>
  <r>
    <x v="9"/>
    <n v="1"/>
    <s v="108000"/>
    <s v="71000"/>
    <d v="2025-08-21T00:00:00"/>
    <n v="108000"/>
  </r>
  <r>
    <x v="14"/>
    <n v="1"/>
    <s v="60000"/>
    <s v="35000"/>
    <d v="2025-12-15T00:00:00"/>
    <n v="60000"/>
  </r>
  <r>
    <x v="1"/>
    <n v="2"/>
    <s v="237000"/>
    <s v="146000"/>
    <d v="2026-07-21T00:00:00"/>
    <n v="474000"/>
  </r>
  <r>
    <x v="3"/>
    <n v="1"/>
    <s v="62000"/>
    <s v="45000"/>
    <d v="2025-01-25T00:00:00"/>
    <n v="62000"/>
  </r>
  <r>
    <x v="14"/>
    <n v="1"/>
    <s v="93000"/>
    <s v="59000"/>
    <d v="2026-02-08T00:00:00"/>
    <n v="93000"/>
  </r>
  <r>
    <x v="2"/>
    <n v="2"/>
    <s v="91000"/>
    <s v="50000"/>
    <d v="2026-03-16T00:00:00"/>
    <n v="182000"/>
  </r>
  <r>
    <x v="0"/>
    <n v="1"/>
    <s v="228000"/>
    <s v="167000"/>
    <d v="2026-04-03T00:00:00"/>
    <n v="228000"/>
  </r>
  <r>
    <x v="5"/>
    <n v="1"/>
    <s v="₦ 76,000"/>
    <s v="50000"/>
    <d v="2026-07-10T00:00:00"/>
    <n v="76000"/>
  </r>
  <r>
    <x v="0"/>
    <n v="1"/>
    <s v="262000"/>
    <s v="159000"/>
    <d v="2025-08-15T00:00:00"/>
    <m/>
  </r>
  <r>
    <x v="13"/>
    <m/>
    <s v="₦125,000"/>
    <s v="71000"/>
    <d v="2026-01-02T00:00:00"/>
    <m/>
  </r>
  <r>
    <x v="3"/>
    <n v="1"/>
    <s v="67000"/>
    <s v="51000"/>
    <d v="2025-12-28T00:00:00"/>
    <n v="67000"/>
  </r>
  <r>
    <x v="18"/>
    <n v="1"/>
    <s v="296000"/>
    <s v="185000"/>
    <d v="2025-10-21T00:00:00"/>
    <n v="296000"/>
  </r>
  <r>
    <x v="17"/>
    <n v="1"/>
    <s v="65000"/>
    <s v="48000"/>
    <d v="2025-12-19T00:00:00"/>
    <n v="65000"/>
  </r>
  <r>
    <x v="17"/>
    <n v="2"/>
    <s v="49000"/>
    <s v="35000"/>
    <d v="2025-04-07T00:00:00"/>
    <n v="98000"/>
  </r>
  <r>
    <x v="12"/>
    <n v="1"/>
    <s v="43000"/>
    <s v="23000"/>
    <d v="2025-09-17T00:00:00"/>
    <n v="43000"/>
  </r>
  <r>
    <x v="16"/>
    <n v="2"/>
    <s v="124000"/>
    <s v="78000"/>
    <d v="2026-03-30T00:00:00"/>
    <n v="248000"/>
  </r>
  <r>
    <x v="16"/>
    <n v="1"/>
    <s v="155000"/>
    <s v="113000"/>
    <d v="2025-12-07T00:00:00"/>
    <n v="155000"/>
  </r>
  <r>
    <x v="8"/>
    <n v="1"/>
    <s v="68000"/>
    <s v="44000"/>
    <d v="2025-10-24T00:00:00"/>
    <n v="68000"/>
  </r>
  <r>
    <x v="13"/>
    <n v="1"/>
    <s v="81000"/>
    <s v="49000"/>
    <d v="2025-01-14T00:00:00"/>
    <n v="81000"/>
  </r>
  <r>
    <x v="16"/>
    <n v="1"/>
    <s v="₦ 166,000"/>
    <s v="125000"/>
    <d v="2025-12-30T00:00:00"/>
    <n v="166000"/>
  </r>
  <r>
    <x v="12"/>
    <n v="1"/>
    <s v="22000"/>
    <s v="13000"/>
    <d v="2026-07-14T00:00:00"/>
    <n v="22000"/>
  </r>
  <r>
    <x v="11"/>
    <n v="1"/>
    <s v="70000"/>
    <s v="48000"/>
    <d v="2025-06-18T00:00:00"/>
    <n v="70000"/>
  </r>
  <r>
    <x v="17"/>
    <n v="1"/>
    <s v="85000"/>
    <s v="65,000"/>
    <d v="2025-03-18T00:00:00"/>
    <n v="85000"/>
  </r>
  <r>
    <x v="16"/>
    <n v="1"/>
    <s v="143000"/>
    <s v="111000"/>
    <m/>
    <m/>
  </r>
  <r>
    <x v="16"/>
    <n v="1"/>
    <s v="164000"/>
    <s v="101000"/>
    <d v="2026-07-02T00:00:00"/>
    <m/>
  </r>
  <r>
    <x v="11"/>
    <n v="1"/>
    <s v="83000"/>
    <s v="47000"/>
    <d v="2026-05-01T00:00:00"/>
    <n v="83000"/>
  </r>
  <r>
    <x v="10"/>
    <n v="1"/>
    <s v="239000"/>
    <s v="160000"/>
    <d v="2025-06-17T00:00:00"/>
    <n v="239000"/>
  </r>
  <r>
    <x v="13"/>
    <n v="1"/>
    <s v="107,000"/>
    <s v="75000"/>
    <d v="2025-08-29T00:00:00"/>
    <n v="107000"/>
  </r>
  <r>
    <x v="13"/>
    <n v="1"/>
    <s v="91000"/>
    <s v="54000"/>
    <d v="2026-06-06T00:00:00"/>
    <n v="91000"/>
  </r>
  <r>
    <x v="15"/>
    <n v="1"/>
    <s v="₦80,000"/>
    <s v="49000"/>
    <d v="2025-07-16T00:00:00"/>
    <n v="80000"/>
  </r>
  <r>
    <x v="0"/>
    <n v="1"/>
    <s v="233000"/>
    <s v="164000"/>
    <d v="2026-08-10T00:00:00"/>
    <n v="233000"/>
  </r>
  <r>
    <x v="8"/>
    <n v="1"/>
    <s v="45000"/>
    <s v="24000"/>
    <d v="2026-01-24T00:00:00"/>
    <n v="45000"/>
  </r>
  <r>
    <x v="13"/>
    <n v="1"/>
    <s v="106000"/>
    <s v="77000"/>
    <d v="2025-10-16T00:00:00"/>
    <n v="106000"/>
  </r>
  <r>
    <x v="3"/>
    <n v="2"/>
    <s v="88000"/>
    <s v="61000"/>
    <d v="2025-12-07T00:00:00"/>
    <n v="176000"/>
  </r>
  <r>
    <x v="11"/>
    <n v="1"/>
    <s v="77000"/>
    <s v="45000"/>
    <d v="2025-02-25T00:00:00"/>
    <n v="77000"/>
  </r>
  <r>
    <x v="16"/>
    <n v="1"/>
    <s v="173000"/>
    <s v="121000"/>
    <d v="2026-07-11T00:00:00"/>
    <n v="173000"/>
  </r>
  <r>
    <x v="12"/>
    <n v="1"/>
    <s v="₦36,000"/>
    <s v="₦26,000"/>
    <d v="2026-06-21T00:00:00"/>
    <n v="36000"/>
  </r>
  <r>
    <x v="8"/>
    <n v="3"/>
    <s v="43000"/>
    <s v="26000"/>
    <d v="2026-06-29T00:00:00"/>
    <n v="129000"/>
  </r>
  <r>
    <x v="7"/>
    <n v="2"/>
    <s v="6000"/>
    <s v="4000"/>
    <d v="2026-05-27T00:00:00"/>
    <n v="12000"/>
  </r>
  <r>
    <x v="8"/>
    <n v="1"/>
    <s v="73000"/>
    <s v="46000"/>
    <d v="2026-01-29T00:00:00"/>
    <n v="73000"/>
  </r>
  <r>
    <x v="5"/>
    <n v="1"/>
    <s v="50000"/>
    <s v="37000"/>
    <d v="2025-03-06T00:00:00"/>
    <n v="50000"/>
  </r>
  <r>
    <x v="16"/>
    <n v="1"/>
    <s v="157000"/>
    <s v="87000"/>
    <d v="2026-02-14T00:00:00"/>
    <n v="157000"/>
  </r>
  <r>
    <x v="8"/>
    <n v="1"/>
    <s v="76000"/>
    <s v="43000"/>
    <d v="2025-07-26T00:00:00"/>
    <n v="76000"/>
  </r>
  <r>
    <x v="14"/>
    <n v="1"/>
    <s v="51000"/>
    <s v="27000"/>
    <d v="2025-08-03T00:00:00"/>
    <n v="51000"/>
  </r>
  <r>
    <x v="10"/>
    <n v="1"/>
    <s v="117000"/>
    <s v="90000"/>
    <d v="2025-08-31T00:00:00"/>
    <n v="117000"/>
  </r>
  <r>
    <x v="1"/>
    <n v="1"/>
    <s v="181000"/>
    <s v="110000"/>
    <d v="2026-05-04T00:00:00"/>
    <n v="181000"/>
  </r>
  <r>
    <x v="8"/>
    <n v="1"/>
    <s v="85000"/>
    <s v="46000"/>
    <d v="2025-05-18T00:00:00"/>
    <n v="85000"/>
  </r>
  <r>
    <x v="15"/>
    <n v="2"/>
    <s v="126000"/>
    <s v="95000"/>
    <d v="2026-02-19T00:00:00"/>
    <n v="252000"/>
  </r>
  <r>
    <x v="0"/>
    <n v="2"/>
    <s v="145000"/>
    <s v="84000"/>
    <d v="2025-06-24T00:00:00"/>
    <n v="290000"/>
  </r>
  <r>
    <x v="16"/>
    <n v="1"/>
    <s v="₦97,000"/>
    <s v="₦67,000"/>
    <m/>
    <m/>
  </r>
  <r>
    <x v="15"/>
    <n v="1"/>
    <s v="189000"/>
    <s v="120000"/>
    <d v="2025-04-10T00:00:00"/>
    <n v="189000"/>
  </r>
  <r>
    <x v="4"/>
    <n v="1"/>
    <s v="306000"/>
    <s v="162000"/>
    <d v="2025-08-09T00:00:00"/>
    <n v="306000"/>
  </r>
  <r>
    <x v="11"/>
    <n v="1"/>
    <s v="₦ 82,000"/>
    <s v="56000"/>
    <d v="2026-05-28T00:00:00"/>
    <n v="82000"/>
  </r>
  <r>
    <x v="3"/>
    <n v="3"/>
    <s v="65000"/>
    <s v="41000"/>
    <d v="2025-09-18T00:00:00"/>
    <m/>
  </r>
  <r>
    <x v="16"/>
    <n v="2"/>
    <s v="140000"/>
    <s v="105000"/>
    <d v="2026-06-28T00:00:00"/>
    <m/>
  </r>
  <r>
    <x v="13"/>
    <n v="1"/>
    <s v="75000"/>
    <s v="55000"/>
    <d v="2025-01-07T00:00:00"/>
    <m/>
  </r>
  <r>
    <x v="2"/>
    <n v="1"/>
    <s v="104000"/>
    <s v="75000"/>
    <d v="2025-10-06T00:00:00"/>
    <n v="104000"/>
  </r>
  <r>
    <x v="5"/>
    <n v="3"/>
    <s v="69000"/>
    <s v="41000"/>
    <d v="2026-01-12T00:00:00"/>
    <n v="207000"/>
  </r>
  <r>
    <x v="13"/>
    <n v="2"/>
    <s v="97000"/>
    <s v="₦64,000"/>
    <d v="2025-10-26T00:00:00"/>
    <n v="194000"/>
  </r>
  <r>
    <x v="15"/>
    <n v="1"/>
    <s v="116000"/>
    <s v="67000"/>
    <d v="2025-08-17T00:00:00"/>
    <n v="116000"/>
  </r>
  <r>
    <x v="3"/>
    <n v="1"/>
    <s v="58000"/>
    <s v="44000"/>
    <d v="2025-04-25T00:00:00"/>
    <n v="58000"/>
  </r>
  <r>
    <x v="2"/>
    <n v="1"/>
    <s v="96000"/>
    <s v="56000"/>
    <d v="2026-07-17T00:00:00"/>
    <n v="96000"/>
  </r>
  <r>
    <x v="12"/>
    <n v="1"/>
    <s v="23000"/>
    <s v="13000"/>
    <d v="2025-05-30T00:00:00"/>
    <n v="23000"/>
  </r>
  <r>
    <x v="12"/>
    <n v="3"/>
    <s v="21000"/>
    <s v="14000"/>
    <d v="2025-02-26T00:00:00"/>
    <n v="63000"/>
  </r>
  <r>
    <x v="3"/>
    <n v="1"/>
    <s v="79000"/>
    <s v="47000"/>
    <d v="2025-06-05T00:00:00"/>
    <n v="79000"/>
  </r>
  <r>
    <x v="2"/>
    <n v="3"/>
    <s v="119,000"/>
    <s v="88000"/>
    <d v="2025-05-03T00:00:00"/>
    <n v="357000"/>
  </r>
  <r>
    <x v="1"/>
    <n v="2"/>
    <s v="214000"/>
    <s v="149,000"/>
    <d v="2025-07-20T00:00:00"/>
    <n v="428000"/>
  </r>
  <r>
    <x v="4"/>
    <n v="2"/>
    <s v="317000"/>
    <s v="204000"/>
    <d v="2025-04-21T00:00:00"/>
    <n v="634000"/>
  </r>
  <r>
    <x v="14"/>
    <n v="1"/>
    <s v="₦ 89,000"/>
    <s v="64000"/>
    <d v="2025-02-18T00:00:00"/>
    <n v="89000"/>
  </r>
  <r>
    <x v="2"/>
    <n v="1"/>
    <s v="170000"/>
    <s v="91000"/>
    <d v="2025-09-06T00:00:00"/>
    <n v="170000"/>
  </r>
  <r>
    <x v="1"/>
    <n v="1"/>
    <s v="223000"/>
    <s v="121000"/>
    <d v="2026-05-23T00:00:00"/>
    <n v="223000"/>
  </r>
  <r>
    <x v="14"/>
    <n v="3"/>
    <s v="72000"/>
    <s v="38000"/>
    <d v="2025-11-20T00:00:00"/>
    <n v="216000"/>
  </r>
  <r>
    <x v="13"/>
    <n v="1"/>
    <s v="126000"/>
    <s v="67000"/>
    <d v="2025-05-02T00:00:00"/>
    <n v="126000"/>
  </r>
  <r>
    <x v="2"/>
    <n v="2"/>
    <s v="154000"/>
    <s v="93000"/>
    <d v="2025-04-14T00:00:00"/>
    <n v="308000"/>
  </r>
  <r>
    <x v="14"/>
    <n v="2"/>
    <s v="98000"/>
    <s v="66000"/>
    <d v="2025-08-18T00:00:00"/>
    <n v="196000"/>
  </r>
  <r>
    <x v="19"/>
    <n v="1"/>
    <s v="66000"/>
    <s v="47000"/>
    <d v="2026-03-10T00:00:00"/>
    <n v="66000"/>
  </r>
  <r>
    <x v="3"/>
    <n v="1"/>
    <s v="111000"/>
    <s v="84000"/>
    <d v="2025-03-13T00:00:00"/>
    <n v="111000"/>
  </r>
  <r>
    <x v="3"/>
    <n v="1"/>
    <s v="61000"/>
    <s v="46000"/>
    <d v="2025-01-08T00:00:00"/>
    <n v="61000"/>
  </r>
  <r>
    <x v="14"/>
    <n v="1"/>
    <s v="97000"/>
    <s v="63000"/>
    <d v="2025-06-10T00:00:00"/>
    <n v="97000"/>
  </r>
  <r>
    <x v="2"/>
    <n v="2"/>
    <s v="₦ 157,000"/>
    <s v="99000"/>
    <d v="2025-09-01T00:00:00"/>
    <n v="314000"/>
  </r>
  <r>
    <x v="14"/>
    <n v="1"/>
    <s v="60000"/>
    <s v="41000"/>
    <d v="2025-11-10T00:00:00"/>
    <n v="60000"/>
  </r>
  <r>
    <x v="2"/>
    <n v="2"/>
    <s v="97000"/>
    <s v="75000"/>
    <d v="2026-01-23T00:00:00"/>
    <n v="194000"/>
  </r>
  <r>
    <x v="2"/>
    <n v="1"/>
    <s v="177000"/>
    <s v="125000"/>
    <d v="2025-04-19T00:00:00"/>
    <n v="177000"/>
  </r>
  <r>
    <x v="7"/>
    <n v="1"/>
    <s v="7000"/>
    <s v="4000"/>
    <d v="2025-07-22T00:00:00"/>
    <n v="7000"/>
  </r>
  <r>
    <x v="5"/>
    <n v="4"/>
    <s v="50000"/>
    <s v="28000"/>
    <d v="2026-03-03T00:00:00"/>
    <n v="200000"/>
  </r>
  <r>
    <x v="9"/>
    <n v="1"/>
    <s v="62000"/>
    <s v="33000"/>
    <d v="2025-03-17T00:00:00"/>
    <n v="62000"/>
  </r>
  <r>
    <x v="8"/>
    <n v="1"/>
    <s v="36000"/>
    <s v="27000"/>
    <d v="2026-04-14T00:00:00"/>
    <n v="36000"/>
  </r>
  <r>
    <x v="16"/>
    <n v="1"/>
    <s v="153000"/>
    <s v="114000"/>
    <d v="2026-03-10T00:00:00"/>
    <n v="153000"/>
  </r>
  <r>
    <x v="2"/>
    <n v="4"/>
    <s v="101000"/>
    <s v="73000"/>
    <d v="2025-08-02T00:00:00"/>
    <n v="404000"/>
  </r>
  <r>
    <x v="8"/>
    <n v="1"/>
    <s v="70000"/>
    <s v="54000"/>
    <d v="2026-07-17T00:00:00"/>
    <n v="70000"/>
  </r>
  <r>
    <x v="14"/>
    <n v="1"/>
    <s v="93000"/>
    <s v="59000"/>
    <d v="2026-02-08T00:00:00"/>
    <n v="93000"/>
  </r>
  <r>
    <x v="9"/>
    <n v="1"/>
    <s v="50000"/>
    <s v="26000"/>
    <d v="2025-10-24T00:00:00"/>
    <n v="50000"/>
  </r>
  <r>
    <x v="14"/>
    <n v="2"/>
    <s v="69000"/>
    <s v="49000"/>
    <d v="2026-01-19T00:00:00"/>
    <n v="138000"/>
  </r>
  <r>
    <x v="9"/>
    <n v="1"/>
    <s v="101000"/>
    <s v="64000"/>
    <d v="2026-07-30T00:00:00"/>
    <n v="101000"/>
  </r>
  <r>
    <x v="0"/>
    <n v="2"/>
    <s v="170000"/>
    <s v="129,000"/>
    <d v="2025-04-19T00:00:00"/>
    <n v="340000"/>
  </r>
  <r>
    <x v="15"/>
    <n v="1"/>
    <s v="96000"/>
    <s v="50000"/>
    <d v="2026-08-05T00:00:00"/>
    <n v="96000"/>
  </r>
  <r>
    <x v="2"/>
    <n v="1"/>
    <s v="147000"/>
    <s v="82000"/>
    <m/>
    <m/>
  </r>
  <r>
    <x v="12"/>
    <n v="1"/>
    <s v="29000"/>
    <s v="₦20,000"/>
    <d v="2025-04-01T00:00:00"/>
    <n v="29000"/>
  </r>
  <r>
    <x v="2"/>
    <n v="1"/>
    <s v="145000"/>
    <s v="96000"/>
    <d v="2025-05-02T00:00:00"/>
    <n v="145000"/>
  </r>
  <r>
    <x v="12"/>
    <n v="3"/>
    <s v="39000"/>
    <s v="28000"/>
    <d v="2025-06-29T00:00:00"/>
    <n v="117000"/>
  </r>
  <r>
    <x v="13"/>
    <n v="1"/>
    <s v="139000"/>
    <s v="93000"/>
    <d v="2025-05-26T00:00:00"/>
    <n v="139000"/>
  </r>
  <r>
    <x v="14"/>
    <n v="4"/>
    <s v="61000"/>
    <s v="45000"/>
    <d v="2025-04-26T00:00:00"/>
    <n v="244000"/>
  </r>
  <r>
    <x v="0"/>
    <n v="1"/>
    <s v="144000"/>
    <s v="101000"/>
    <d v="2025-06-10T00:00:00"/>
    <n v="144000"/>
  </r>
  <r>
    <x v="3"/>
    <n v="1"/>
    <s v="70000"/>
    <s v="43000"/>
    <d v="2026-10-06T00:00:00"/>
    <n v="70000"/>
  </r>
  <r>
    <x v="8"/>
    <n v="1"/>
    <s v="56000"/>
    <s v="42,000"/>
    <d v="2025-10-01T00:00:00"/>
    <n v="56000"/>
  </r>
  <r>
    <x v="6"/>
    <n v="1"/>
    <s v="47000"/>
    <s v="36000"/>
    <d v="2025-09-03T00:00:00"/>
    <n v="47000"/>
  </r>
  <r>
    <x v="13"/>
    <n v="1"/>
    <s v="131000"/>
    <s v="86000"/>
    <d v="2026-04-17T00:00:00"/>
    <n v="131000"/>
  </r>
  <r>
    <x v="11"/>
    <n v="1"/>
    <s v="78000"/>
    <s v="55000"/>
    <d v="2025-06-12T00:00:00"/>
    <n v="78000"/>
  </r>
  <r>
    <x v="7"/>
    <n v="2"/>
    <s v="6000"/>
    <s v="4000"/>
    <d v="2025-10-21T00:00:00"/>
    <n v="12000"/>
  </r>
  <r>
    <x v="10"/>
    <n v="3"/>
    <s v="215000"/>
    <s v="140000"/>
    <d v="2025-11-09T00:00:00"/>
    <n v="645000"/>
  </r>
  <r>
    <x v="0"/>
    <n v="1"/>
    <s v="228000"/>
    <s v="149000"/>
    <d v="2026-06-13T00:00:00"/>
    <n v="228000"/>
  </r>
  <r>
    <x v="0"/>
    <n v="2"/>
    <s v="290000"/>
    <s v="157000"/>
    <d v="2025-11-08T00:00:00"/>
    <n v="580000"/>
  </r>
  <r>
    <x v="17"/>
    <n v="1"/>
    <s v="66000"/>
    <s v="38000"/>
    <d v="2025-10-05T00:00:00"/>
    <n v="66000"/>
  </r>
  <r>
    <x v="17"/>
    <n v="2"/>
    <s v="48000"/>
    <s v="31000"/>
    <d v="2025-04-20T00:00:00"/>
    <n v="96000"/>
  </r>
  <r>
    <x v="17"/>
    <n v="1"/>
    <s v="68000"/>
    <s v="43000"/>
    <d v="2025-11-16T00:00:00"/>
    <n v="68000"/>
  </r>
  <r>
    <x v="8"/>
    <n v="1"/>
    <s v="68000"/>
    <s v="51000"/>
    <d v="2026-06-14T00:00:00"/>
    <n v="68000"/>
  </r>
  <r>
    <x v="6"/>
    <n v="1"/>
    <s v="47000"/>
    <s v="36000"/>
    <d v="2025-09-03T00:00:00"/>
    <n v="47000"/>
  </r>
  <r>
    <x v="2"/>
    <n v="1"/>
    <s v="95000"/>
    <s v="73000"/>
    <d v="2025-08-03T00:00:00"/>
    <n v="95000"/>
  </r>
  <r>
    <x v="2"/>
    <n v="2"/>
    <s v="192000"/>
    <s v="116000"/>
    <d v="2025-05-03T00:00:00"/>
    <n v="384000"/>
  </r>
  <r>
    <x v="12"/>
    <n v="1"/>
    <s v="22000"/>
    <s v="14000"/>
    <d v="2026-07-23T00:00:00"/>
    <n v="22000"/>
  </r>
  <r>
    <x v="6"/>
    <n v="2"/>
    <s v="42000"/>
    <s v="24000"/>
    <d v="2026-05-04T00:00:00"/>
    <n v="84000"/>
  </r>
  <r>
    <x v="16"/>
    <n v="1"/>
    <s v="157000"/>
    <s v="84000"/>
    <d v="2026-04-07T00:00:00"/>
    <n v="157000"/>
  </r>
  <r>
    <x v="17"/>
    <n v="1"/>
    <s v="57000"/>
    <s v="39000"/>
    <d v="2025-12-30T00:00:00"/>
    <n v="57000"/>
  </r>
  <r>
    <x v="12"/>
    <n v="1"/>
    <s v="43000"/>
    <s v="29000"/>
    <d v="2026-01-17T00:00:00"/>
    <n v="43000"/>
  </r>
  <r>
    <x v="1"/>
    <n v="2"/>
    <s v="211000"/>
    <s v="117000"/>
    <d v="2025-06-26T00:00:00"/>
    <n v="422000"/>
  </r>
  <r>
    <x v="9"/>
    <n v="2"/>
    <s v="68000"/>
    <s v="45000"/>
    <d v="2025-09-07T00:00:00"/>
    <n v="136000"/>
  </r>
  <r>
    <x v="10"/>
    <n v="1"/>
    <s v="228000"/>
    <s v="123000"/>
    <d v="2025-03-28T00:00:00"/>
    <n v="228000"/>
  </r>
  <r>
    <x v="9"/>
    <n v="1"/>
    <s v="84000"/>
    <s v="46000"/>
    <d v="2025-06-22T00:00:00"/>
    <m/>
  </r>
  <r>
    <x v="10"/>
    <m/>
    <s v="190000"/>
    <s v="145000"/>
    <d v="2025-01-24T00:00:00"/>
    <m/>
  </r>
  <r>
    <x v="16"/>
    <n v="1"/>
    <s v="139000"/>
    <s v="107000"/>
    <d v="2025-02-01T00:00:00"/>
    <m/>
  </r>
  <r>
    <x v="2"/>
    <n v="3"/>
    <s v="180000"/>
    <s v="104000"/>
    <d v="2025-06-12T00:00:00"/>
    <n v="540000"/>
  </r>
  <r>
    <x v="2"/>
    <n v="3"/>
    <s v="130000"/>
    <s v="99000"/>
    <d v="2026-03-15T00:00:00"/>
    <n v="390000"/>
  </r>
  <r>
    <x v="8"/>
    <n v="1"/>
    <s v="54000"/>
    <s v="34000"/>
    <d v="2025-05-01T00:00:00"/>
    <n v="54000"/>
  </r>
  <r>
    <x v="13"/>
    <n v="1"/>
    <s v="138000"/>
    <s v="95000"/>
    <d v="2025-01-27T00:00:00"/>
    <n v="138000"/>
  </r>
  <r>
    <x v="12"/>
    <n v="1"/>
    <s v="32000"/>
    <s v="23000"/>
    <d v="2025-11-24T00:00:00"/>
    <n v="32000"/>
  </r>
  <r>
    <x v="7"/>
    <n v="1"/>
    <s v="7000"/>
    <s v="4000"/>
    <d v="2025-07-19T00:00:00"/>
    <n v="7000"/>
  </r>
  <r>
    <x v="8"/>
    <n v="1"/>
    <s v="64000"/>
    <s v="49000"/>
    <d v="2025-07-26T00:00:00"/>
    <n v="64000"/>
  </r>
  <r>
    <x v="11"/>
    <n v="1"/>
    <s v="62000"/>
    <s v="45000"/>
    <d v="2025-02-05T00:00:00"/>
    <n v="62000"/>
  </r>
  <r>
    <x v="4"/>
    <n v="1"/>
    <s v="334000"/>
    <s v="183000"/>
    <d v="2026-04-06T00:00:00"/>
    <n v="334000"/>
  </r>
  <r>
    <x v="17"/>
    <n v="2"/>
    <s v="59000"/>
    <s v="31000"/>
    <d v="2025-01-26T00:00:00"/>
    <n v="118000"/>
  </r>
  <r>
    <x v="0"/>
    <n v="1"/>
    <s v="239000"/>
    <s v="133000"/>
    <d v="2025-03-08T00:00:00"/>
    <n v="239000"/>
  </r>
  <r>
    <x v="4"/>
    <n v="3"/>
    <s v="275000"/>
    <s v="213000"/>
    <m/>
    <m/>
  </r>
  <r>
    <x v="17"/>
    <n v="1"/>
    <s v="62000"/>
    <s v="₦48,000"/>
    <d v="2025-12-18T00:00:00"/>
    <n v="62000"/>
  </r>
  <r>
    <x v="2"/>
    <n v="2"/>
    <s v="91000"/>
    <s v="50000"/>
    <d v="2026-03-16T00:00:00"/>
    <n v="182000"/>
  </r>
  <r>
    <x v="7"/>
    <n v="1"/>
    <s v="5000"/>
    <s v="4000"/>
    <d v="2025-10-12T00:00:00"/>
    <n v="5000"/>
  </r>
  <r>
    <x v="1"/>
    <n v="2"/>
    <s v="133000"/>
    <s v="78000"/>
    <d v="2026-03-13T00:00:00"/>
    <n v="266000"/>
  </r>
  <r>
    <x v="2"/>
    <n v="1"/>
    <s v="167000"/>
    <s v="93000"/>
    <d v="2025-02-16T00:00:00"/>
    <n v="167000"/>
  </r>
  <r>
    <x v="7"/>
    <n v="1"/>
    <s v="7000"/>
    <s v="4000"/>
    <d v="2026-07-23T00:00:00"/>
    <n v="7000"/>
  </r>
  <r>
    <x v="2"/>
    <n v="1"/>
    <s v="184000"/>
    <s v="121000"/>
    <d v="2025-09-12T00:00:00"/>
    <n v="184000"/>
  </r>
  <r>
    <x v="20"/>
    <m/>
    <m/>
    <m/>
    <m/>
    <m/>
  </r>
  <r>
    <x v="20"/>
    <m/>
    <m/>
    <m/>
    <m/>
    <m/>
  </r>
  <r>
    <x v="20"/>
    <m/>
    <m/>
    <m/>
    <m/>
    <m/>
  </r>
  <r>
    <x v="20"/>
    <m/>
    <m/>
    <m/>
    <m/>
    <m/>
  </r>
  <r>
    <x v="20"/>
    <m/>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5">
  <r>
    <x v="0"/>
    <n v="1"/>
    <s v="206000"/>
    <s v="118000"/>
    <d v="2026-07-08T00:00:00"/>
    <n v="206000"/>
    <n v="118000"/>
    <n v="88000"/>
  </r>
  <r>
    <x v="1"/>
    <n v="2"/>
    <s v="154000"/>
    <s v="116000"/>
    <d v="2026-01-06T00:00:00"/>
    <n v="308000"/>
    <n v="232000"/>
    <n v="76000"/>
  </r>
  <r>
    <x v="2"/>
    <n v="1"/>
    <s v="111000"/>
    <s v="68000"/>
    <d v="2025-02-25T00:00:00"/>
    <n v="111000"/>
    <n v="68000"/>
    <n v="43000"/>
  </r>
  <r>
    <x v="3"/>
    <n v="1"/>
    <s v="64000"/>
    <s v="36000"/>
    <d v="2026-03-08T00:00:00"/>
    <n v="64000"/>
    <n v="36000"/>
    <n v="28000"/>
  </r>
  <r>
    <x v="4"/>
    <n v="1"/>
    <s v="238,000"/>
    <s v="141000"/>
    <d v="2025-05-03T00:00:00"/>
    <n v="238000"/>
    <n v="141000"/>
    <n v="97000"/>
  </r>
  <r>
    <x v="5"/>
    <m/>
    <s v="76000"/>
    <s v="59000"/>
    <d v="2026-01-13T00:00:00"/>
    <m/>
    <m/>
    <m/>
  </r>
  <r>
    <x v="6"/>
    <n v="3"/>
    <s v="38000"/>
    <s v="27000"/>
    <d v="2025-06-13T00:00:00"/>
    <n v="114000"/>
    <n v="81000"/>
    <n v="33000"/>
  </r>
  <r>
    <x v="2"/>
    <n v="2"/>
    <s v="211000"/>
    <s v="161000"/>
    <d v="2025-04-13T00:00:00"/>
    <n v="422000"/>
    <n v="322000"/>
    <n v="100000"/>
  </r>
  <r>
    <x v="1"/>
    <n v="1"/>
    <s v="172000"/>
    <s v="127000"/>
    <d v="2025-08-17T00:00:00"/>
    <n v="172000"/>
    <n v="127000"/>
    <n v="45000"/>
  </r>
  <r>
    <x v="7"/>
    <n v="2"/>
    <s v="4000"/>
    <s v="2000"/>
    <d v="2025-05-07T00:00:00"/>
    <n v="8000"/>
    <n v="4000"/>
    <n v="4000"/>
  </r>
  <r>
    <x v="1"/>
    <n v="2"/>
    <s v="198000"/>
    <s v="137000"/>
    <d v="2025-11-30T00:00:00"/>
    <n v="396000"/>
    <n v="274000"/>
    <n v="122000"/>
  </r>
  <r>
    <x v="8"/>
    <n v="1"/>
    <s v="71000"/>
    <s v="51000"/>
    <d v="2026-07-29T00:00:00"/>
    <n v="71000"/>
    <n v="51000"/>
    <n v="20000"/>
  </r>
  <r>
    <x v="0"/>
    <n v="2"/>
    <s v="290000"/>
    <s v="157000"/>
    <d v="2025-11-08T00:00:00"/>
    <n v="580000"/>
    <n v="314000"/>
    <n v="266000"/>
  </r>
  <r>
    <x v="3"/>
    <n v="1"/>
    <s v="95000"/>
    <s v="68000"/>
    <d v="2026-06-15T00:00:00"/>
    <n v="95000"/>
    <n v="68000"/>
    <n v="27000"/>
  </r>
  <r>
    <x v="4"/>
    <n v="5"/>
    <s v="248000"/>
    <s v="169000"/>
    <d v="2026-07-25T00:00:00"/>
    <n v="1240000"/>
    <n v="845000"/>
    <n v="395000"/>
  </r>
  <r>
    <x v="9"/>
    <m/>
    <s v="79000"/>
    <s v="48000"/>
    <d v="2026-04-03T00:00:00"/>
    <m/>
    <m/>
    <m/>
  </r>
  <r>
    <x v="10"/>
    <n v="2"/>
    <s v="139000"/>
    <s v="76000"/>
    <d v="2026-02-26T00:00:00"/>
    <n v="278000"/>
    <n v="152000"/>
    <n v="126000"/>
  </r>
  <r>
    <x v="11"/>
    <n v="3"/>
    <s v="88000"/>
    <s v="65000"/>
    <d v="2026-06-08T00:00:00"/>
    <n v="264000"/>
    <n v="195000"/>
    <n v="69000"/>
  </r>
  <r>
    <x v="0"/>
    <n v="3"/>
    <s v="168000"/>
    <s v="89,000"/>
    <d v="2025-04-08T00:00:00"/>
    <n v="504000"/>
    <n v="267000"/>
    <n v="237000"/>
  </r>
  <r>
    <x v="12"/>
    <n v="1"/>
    <s v="31000"/>
    <s v="19000"/>
    <d v="2025-01-17T00:00:00"/>
    <n v="31000"/>
    <n v="19000"/>
    <n v="12000"/>
  </r>
  <r>
    <x v="5"/>
    <n v="1"/>
    <s v="82000"/>
    <s v="46000"/>
    <d v="2025-10-15T00:00:00"/>
    <n v="82000"/>
    <n v="46000"/>
    <n v="36000"/>
  </r>
  <r>
    <x v="9"/>
    <n v="3"/>
    <s v="94000"/>
    <s v="71000"/>
    <m/>
    <m/>
    <m/>
    <m/>
  </r>
  <r>
    <x v="9"/>
    <n v="1"/>
    <s v="89000"/>
    <s v="49000"/>
    <d v="2025-05-31T00:00:00"/>
    <n v="89000"/>
    <n v="49000"/>
    <n v="40000"/>
  </r>
  <r>
    <x v="13"/>
    <n v="1"/>
    <s v="126000"/>
    <s v="95000"/>
    <d v="2025-02-28T00:00:00"/>
    <n v="126000"/>
    <n v="95000"/>
    <n v="31000"/>
  </r>
  <r>
    <x v="14"/>
    <m/>
    <s v="81000"/>
    <s v="57000"/>
    <d v="2025-02-26T00:00:00"/>
    <m/>
    <m/>
    <m/>
  </r>
  <r>
    <x v="14"/>
    <n v="3"/>
    <s v="99000"/>
    <s v="63000"/>
    <d v="2026-07-13T00:00:00"/>
    <n v="297000"/>
    <n v="189000"/>
    <n v="108000"/>
  </r>
  <r>
    <x v="13"/>
    <n v="1"/>
    <s v="73000"/>
    <s v="51000"/>
    <d v="2025-08-18T00:00:00"/>
    <n v="73000"/>
    <n v="51000"/>
    <n v="22000"/>
  </r>
  <r>
    <x v="12"/>
    <n v="2"/>
    <s v="40000"/>
    <s v="26000"/>
    <d v="2025-02-11T00:00:00"/>
    <n v="80000"/>
    <n v="52000"/>
    <n v="28000"/>
  </r>
  <r>
    <x v="14"/>
    <n v="1"/>
    <s v="45000"/>
    <s v="27000"/>
    <d v="2025-10-05T00:00:00"/>
    <n v="45000"/>
    <n v="27000"/>
    <n v="18000"/>
  </r>
  <r>
    <x v="15"/>
    <n v="1"/>
    <s v="110000"/>
    <s v="69000"/>
    <d v="2025-05-14T00:00:00"/>
    <n v="110000"/>
    <n v="69000"/>
    <n v="41000"/>
  </r>
  <r>
    <x v="14"/>
    <n v="1"/>
    <s v="54000"/>
    <s v="40000"/>
    <d v="2025-10-10T00:00:00"/>
    <n v="54000"/>
    <n v="40000"/>
    <n v="14000"/>
  </r>
  <r>
    <x v="13"/>
    <n v="1"/>
    <s v="90000"/>
    <s v="67000"/>
    <d v="2025-03-20T00:00:00"/>
    <n v="90000"/>
    <n v="67000"/>
    <n v="23000"/>
  </r>
  <r>
    <x v="0"/>
    <n v="1"/>
    <s v="124000"/>
    <s v="94000"/>
    <d v="2025-11-14T00:00:00"/>
    <n v="124000"/>
    <n v="94000"/>
    <n v="30000"/>
  </r>
  <r>
    <x v="3"/>
    <n v="1"/>
    <s v="111000"/>
    <s v="67000"/>
    <d v="2025-04-01T00:00:00"/>
    <n v="111000"/>
    <n v="67000"/>
    <n v="44000"/>
  </r>
  <r>
    <x v="16"/>
    <n v="2"/>
    <s v="153000"/>
    <s v="82000"/>
    <d v="2026-05-15T00:00:00"/>
    <n v="306000"/>
    <n v="164000"/>
    <n v="142000"/>
  </r>
  <r>
    <x v="8"/>
    <n v="4"/>
    <s v="61000"/>
    <s v="34000"/>
    <d v="2026-07-23T00:00:00"/>
    <n v="244000"/>
    <n v="136000"/>
    <n v="108000"/>
  </r>
  <r>
    <x v="8"/>
    <n v="3"/>
    <s v="48000"/>
    <s v="32000"/>
    <d v="2026-04-14T00:00:00"/>
    <m/>
    <m/>
    <m/>
  </r>
  <r>
    <x v="0"/>
    <n v="1"/>
    <s v="253000"/>
    <s v="134000"/>
    <d v="2026-05-15T00:00:00"/>
    <n v="253000"/>
    <n v="134000"/>
    <n v="119000"/>
  </r>
  <r>
    <x v="3"/>
    <n v="1"/>
    <s v="89000"/>
    <s v="59000"/>
    <d v="2025-06-23T00:00:00"/>
    <n v="89000"/>
    <n v="59000"/>
    <n v="30000"/>
  </r>
  <r>
    <x v="3"/>
    <n v="4"/>
    <s v="64,000"/>
    <s v="48000"/>
    <d v="2026-07-29T00:00:00"/>
    <n v="256000"/>
    <n v="192000"/>
    <n v="64000"/>
  </r>
  <r>
    <x v="17"/>
    <n v="1"/>
    <s v="72000"/>
    <s v="53000"/>
    <d v="2026-06-01T00:00:00"/>
    <n v="72000"/>
    <n v="53000"/>
    <n v="19000"/>
  </r>
  <r>
    <x v="3"/>
    <n v="1"/>
    <s v="96000"/>
    <s v="52000"/>
    <d v="2025-11-10T00:00:00"/>
    <n v="96000"/>
    <n v="52000"/>
    <n v="44000"/>
  </r>
  <r>
    <x v="2"/>
    <n v="1"/>
    <s v="206000"/>
    <s v="115000"/>
    <d v="2025-04-24T00:00:00"/>
    <n v="206000"/>
    <n v="115000"/>
    <n v="91000"/>
  </r>
  <r>
    <x v="3"/>
    <n v="1"/>
    <s v="89000"/>
    <s v="62000"/>
    <d v="2025-10-17T00:00:00"/>
    <n v="89000"/>
    <n v="62000"/>
    <n v="27000"/>
  </r>
  <r>
    <x v="7"/>
    <n v="1"/>
    <s v="6000"/>
    <s v="5000"/>
    <d v="2026-04-21T00:00:00"/>
    <n v="6000"/>
    <n v="5000"/>
    <n v="1000"/>
  </r>
  <r>
    <x v="7"/>
    <n v="1"/>
    <s v="8000"/>
    <s v="5000"/>
    <d v="2025-11-18T00:00:00"/>
    <n v="8000"/>
    <n v="5000"/>
    <n v="3000"/>
  </r>
  <r>
    <x v="8"/>
    <n v="1"/>
    <s v="40000"/>
    <s v="22000"/>
    <d v="2025-07-29T00:00:00"/>
    <n v="40000"/>
    <n v="22000"/>
    <n v="18000"/>
  </r>
  <r>
    <x v="8"/>
    <n v="1"/>
    <s v="61000"/>
    <s v="44000"/>
    <d v="2025-02-27T00:00:00"/>
    <n v="61000"/>
    <n v="44000"/>
    <n v="17000"/>
  </r>
  <r>
    <x v="16"/>
    <n v="1"/>
    <s v="177000"/>
    <s v="119000"/>
    <d v="2026-05-22T00:00:00"/>
    <n v="177000"/>
    <n v="119000"/>
    <n v="58000"/>
  </r>
  <r>
    <x v="14"/>
    <n v="2"/>
    <s v="49000"/>
    <s v="31000"/>
    <m/>
    <m/>
    <m/>
    <m/>
  </r>
  <r>
    <x v="0"/>
    <n v="1"/>
    <s v="291000"/>
    <s v="178000"/>
    <d v="2025-05-08T00:00:00"/>
    <n v="291000"/>
    <n v="178000"/>
    <n v="113000"/>
  </r>
  <r>
    <x v="8"/>
    <n v="1"/>
    <s v="58000"/>
    <s v="33000"/>
    <d v="2026-08-03T00:00:00"/>
    <n v="58000"/>
    <n v="33000"/>
    <n v="25000"/>
  </r>
  <r>
    <x v="0"/>
    <n v="1"/>
    <s v="₦259,000"/>
    <s v="187000"/>
    <d v="2025-03-19T00:00:00"/>
    <n v="259000"/>
    <n v="187000"/>
    <n v="72000"/>
  </r>
  <r>
    <x v="0"/>
    <n v="1"/>
    <s v="239000"/>
    <s v="133000"/>
    <d v="2025-03-08T00:00:00"/>
    <n v="239000"/>
    <n v="133000"/>
    <n v="106000"/>
  </r>
  <r>
    <x v="4"/>
    <n v="1"/>
    <s v="189000"/>
    <s v="129000"/>
    <d v="2025-01-05T00:00:00"/>
    <n v="189000"/>
    <n v="129000"/>
    <n v="60000"/>
  </r>
  <r>
    <x v="8"/>
    <m/>
    <s v="72000"/>
    <s v="45000"/>
    <d v="2026-04-07T00:00:00"/>
    <m/>
    <m/>
    <m/>
  </r>
  <r>
    <x v="11"/>
    <n v="1"/>
    <s v="48000"/>
    <s v="31000"/>
    <d v="2026-03-31T00:00:00"/>
    <n v="48000"/>
    <n v="31000"/>
    <n v="17000"/>
  </r>
  <r>
    <x v="0"/>
    <n v="1"/>
    <s v="120000"/>
    <s v="84000"/>
    <d v="2025-11-30T00:00:00"/>
    <n v="120000"/>
    <n v="84000"/>
    <n v="36000"/>
  </r>
  <r>
    <x v="0"/>
    <n v="3"/>
    <s v="217000"/>
    <s v="131000"/>
    <m/>
    <m/>
    <m/>
    <m/>
  </r>
  <r>
    <x v="1"/>
    <n v="1"/>
    <s v="206000"/>
    <s v="156000"/>
    <d v="2026-01-10T00:00:00"/>
    <n v="206000"/>
    <n v="156000"/>
    <n v="50000"/>
  </r>
  <r>
    <x v="0"/>
    <n v="1"/>
    <s v="182000"/>
    <s v="117000"/>
    <d v="2025-06-28T00:00:00"/>
    <n v="182000"/>
    <n v="117000"/>
    <n v="65000"/>
  </r>
  <r>
    <x v="9"/>
    <n v="1"/>
    <s v="108000"/>
    <s v="71000"/>
    <d v="2025-08-21T00:00:00"/>
    <n v="108000"/>
    <n v="71000"/>
    <n v="37000"/>
  </r>
  <r>
    <x v="14"/>
    <n v="1"/>
    <s v="60000"/>
    <s v="35000"/>
    <d v="2025-12-15T00:00:00"/>
    <n v="60000"/>
    <n v="35000"/>
    <n v="25000"/>
  </r>
  <r>
    <x v="1"/>
    <n v="2"/>
    <s v="237000"/>
    <s v="146000"/>
    <d v="2026-07-21T00:00:00"/>
    <n v="474000"/>
    <n v="292000"/>
    <n v="182000"/>
  </r>
  <r>
    <x v="3"/>
    <n v="1"/>
    <s v="62000"/>
    <s v="45000"/>
    <d v="2025-01-25T00:00:00"/>
    <n v="62000"/>
    <n v="45000"/>
    <n v="17000"/>
  </r>
  <r>
    <x v="14"/>
    <n v="1"/>
    <s v="93000"/>
    <s v="59000"/>
    <d v="2026-02-08T00:00:00"/>
    <n v="93000"/>
    <n v="59000"/>
    <n v="34000"/>
  </r>
  <r>
    <x v="2"/>
    <n v="2"/>
    <s v="91000"/>
    <s v="50000"/>
    <d v="2026-03-16T00:00:00"/>
    <n v="182000"/>
    <n v="100000"/>
    <n v="82000"/>
  </r>
  <r>
    <x v="0"/>
    <n v="1"/>
    <s v="228000"/>
    <s v="167000"/>
    <d v="2026-04-03T00:00:00"/>
    <n v="228000"/>
    <n v="167000"/>
    <n v="61000"/>
  </r>
  <r>
    <x v="5"/>
    <n v="1"/>
    <s v="₦ 76,000"/>
    <s v="50000"/>
    <d v="2026-07-10T00:00:00"/>
    <n v="76000"/>
    <n v="50000"/>
    <n v="26000"/>
  </r>
  <r>
    <x v="0"/>
    <n v="1"/>
    <s v="262000"/>
    <s v="159000"/>
    <d v="2025-08-15T00:00:00"/>
    <m/>
    <m/>
    <m/>
  </r>
  <r>
    <x v="13"/>
    <m/>
    <s v="₦125,000"/>
    <s v="71000"/>
    <d v="2026-01-02T00:00:00"/>
    <m/>
    <m/>
    <m/>
  </r>
  <r>
    <x v="3"/>
    <n v="1"/>
    <s v="67000"/>
    <s v="51000"/>
    <d v="2025-12-28T00:00:00"/>
    <n v="67000"/>
    <n v="51000"/>
    <n v="16000"/>
  </r>
  <r>
    <x v="18"/>
    <n v="1"/>
    <s v="296000"/>
    <s v="185000"/>
    <d v="2025-10-21T00:00:00"/>
    <n v="296000"/>
    <n v="185000"/>
    <n v="111000"/>
  </r>
  <r>
    <x v="17"/>
    <n v="1"/>
    <s v="65000"/>
    <s v="48000"/>
    <d v="2025-12-19T00:00:00"/>
    <n v="65000"/>
    <n v="48000"/>
    <n v="17000"/>
  </r>
  <r>
    <x v="17"/>
    <n v="2"/>
    <s v="49000"/>
    <s v="35000"/>
    <d v="2025-04-07T00:00:00"/>
    <n v="98000"/>
    <n v="70000"/>
    <n v="28000"/>
  </r>
  <r>
    <x v="12"/>
    <n v="1"/>
    <s v="43000"/>
    <s v="23000"/>
    <d v="2025-09-17T00:00:00"/>
    <n v="43000"/>
    <n v="23000"/>
    <n v="20000"/>
  </r>
  <r>
    <x v="16"/>
    <n v="2"/>
    <s v="124000"/>
    <s v="78000"/>
    <d v="2026-03-30T00:00:00"/>
    <n v="248000"/>
    <n v="156000"/>
    <n v="92000"/>
  </r>
  <r>
    <x v="16"/>
    <n v="1"/>
    <s v="155000"/>
    <s v="113000"/>
    <d v="2025-12-07T00:00:00"/>
    <n v="155000"/>
    <n v="113000"/>
    <n v="42000"/>
  </r>
  <r>
    <x v="8"/>
    <n v="1"/>
    <s v="68000"/>
    <s v="44000"/>
    <d v="2025-10-24T00:00:00"/>
    <n v="68000"/>
    <n v="44000"/>
    <n v="24000"/>
  </r>
  <r>
    <x v="13"/>
    <n v="1"/>
    <s v="81000"/>
    <s v="49000"/>
    <d v="2025-01-14T00:00:00"/>
    <n v="81000"/>
    <n v="49000"/>
    <n v="32000"/>
  </r>
  <r>
    <x v="16"/>
    <n v="1"/>
    <s v="₦ 166,000"/>
    <s v="125000"/>
    <d v="2025-12-30T00:00:00"/>
    <n v="166000"/>
    <n v="125000"/>
    <n v="41000"/>
  </r>
  <r>
    <x v="12"/>
    <n v="1"/>
    <s v="22000"/>
    <s v="13000"/>
    <d v="2026-07-14T00:00:00"/>
    <n v="22000"/>
    <n v="13000"/>
    <n v="9000"/>
  </r>
  <r>
    <x v="11"/>
    <n v="1"/>
    <s v="70000"/>
    <s v="48000"/>
    <d v="2025-06-18T00:00:00"/>
    <n v="70000"/>
    <n v="48000"/>
    <n v="22000"/>
  </r>
  <r>
    <x v="17"/>
    <n v="1"/>
    <s v="85000"/>
    <s v="65,000"/>
    <d v="2025-03-18T00:00:00"/>
    <n v="85000"/>
    <n v="65000"/>
    <n v="20000"/>
  </r>
  <r>
    <x v="16"/>
    <n v="1"/>
    <s v="143000"/>
    <s v="111000"/>
    <m/>
    <m/>
    <m/>
    <m/>
  </r>
  <r>
    <x v="16"/>
    <n v="1"/>
    <s v="164000"/>
    <s v="101000"/>
    <d v="2026-07-02T00:00:00"/>
    <m/>
    <m/>
    <m/>
  </r>
  <r>
    <x v="11"/>
    <n v="1"/>
    <s v="83000"/>
    <s v="47000"/>
    <d v="2026-05-01T00:00:00"/>
    <n v="83000"/>
    <n v="47000"/>
    <n v="36000"/>
  </r>
  <r>
    <x v="10"/>
    <n v="1"/>
    <s v="239000"/>
    <s v="160000"/>
    <d v="2025-06-17T00:00:00"/>
    <n v="239000"/>
    <n v="160000"/>
    <n v="79000"/>
  </r>
  <r>
    <x v="13"/>
    <n v="1"/>
    <s v="107,000"/>
    <s v="75000"/>
    <d v="2025-08-29T00:00:00"/>
    <n v="107000"/>
    <n v="75000"/>
    <n v="32000"/>
  </r>
  <r>
    <x v="13"/>
    <n v="1"/>
    <s v="91000"/>
    <s v="54000"/>
    <d v="2026-06-06T00:00:00"/>
    <n v="91000"/>
    <n v="54000"/>
    <n v="37000"/>
  </r>
  <r>
    <x v="15"/>
    <n v="1"/>
    <s v="₦80,000"/>
    <s v="49000"/>
    <d v="2025-07-16T00:00:00"/>
    <n v="80000"/>
    <n v="49000"/>
    <n v="31000"/>
  </r>
  <r>
    <x v="0"/>
    <n v="1"/>
    <s v="233000"/>
    <s v="164000"/>
    <d v="2026-08-10T00:00:00"/>
    <n v="233000"/>
    <n v="164000"/>
    <n v="69000"/>
  </r>
  <r>
    <x v="8"/>
    <n v="1"/>
    <s v="45000"/>
    <s v="24000"/>
    <d v="2026-01-24T00:00:00"/>
    <n v="45000"/>
    <n v="24000"/>
    <n v="21000"/>
  </r>
  <r>
    <x v="13"/>
    <n v="1"/>
    <s v="106000"/>
    <s v="77000"/>
    <d v="2025-10-16T00:00:00"/>
    <n v="106000"/>
    <n v="77000"/>
    <n v="29000"/>
  </r>
  <r>
    <x v="3"/>
    <n v="2"/>
    <s v="88000"/>
    <s v="61000"/>
    <d v="2025-12-07T00:00:00"/>
    <n v="176000"/>
    <n v="122000"/>
    <n v="54000"/>
  </r>
  <r>
    <x v="11"/>
    <n v="1"/>
    <s v="77000"/>
    <s v="45000"/>
    <d v="2025-02-25T00:00:00"/>
    <n v="77000"/>
    <n v="45000"/>
    <n v="32000"/>
  </r>
  <r>
    <x v="16"/>
    <n v="1"/>
    <s v="173000"/>
    <s v="121000"/>
    <d v="2026-07-11T00:00:00"/>
    <n v="173000"/>
    <n v="121000"/>
    <n v="52000"/>
  </r>
  <r>
    <x v="12"/>
    <n v="1"/>
    <s v="₦36,000"/>
    <s v="₦26,000"/>
    <d v="2026-06-21T00:00:00"/>
    <n v="36000"/>
    <n v="26000"/>
    <n v="10000"/>
  </r>
  <r>
    <x v="8"/>
    <n v="3"/>
    <s v="43000"/>
    <s v="26000"/>
    <d v="2026-06-29T00:00:00"/>
    <n v="129000"/>
    <n v="78000"/>
    <n v="51000"/>
  </r>
  <r>
    <x v="7"/>
    <n v="2"/>
    <s v="6000"/>
    <s v="4000"/>
    <d v="2026-05-27T00:00:00"/>
    <n v="12000"/>
    <n v="8000"/>
    <n v="4000"/>
  </r>
  <r>
    <x v="8"/>
    <n v="1"/>
    <s v="73000"/>
    <s v="46000"/>
    <d v="2026-01-29T00:00:00"/>
    <n v="73000"/>
    <n v="46000"/>
    <n v="27000"/>
  </r>
  <r>
    <x v="5"/>
    <n v="1"/>
    <s v="50000"/>
    <s v="37000"/>
    <d v="2025-03-06T00:00:00"/>
    <n v="50000"/>
    <n v="37000"/>
    <n v="13000"/>
  </r>
  <r>
    <x v="16"/>
    <n v="1"/>
    <s v="157000"/>
    <s v="87000"/>
    <d v="2026-02-14T00:00:00"/>
    <n v="157000"/>
    <n v="87000"/>
    <n v="70000"/>
  </r>
  <r>
    <x v="8"/>
    <n v="1"/>
    <s v="76000"/>
    <s v="43000"/>
    <d v="2025-07-26T00:00:00"/>
    <n v="76000"/>
    <n v="43000"/>
    <n v="33000"/>
  </r>
  <r>
    <x v="14"/>
    <n v="1"/>
    <s v="51000"/>
    <s v="27000"/>
    <d v="2025-08-03T00:00:00"/>
    <n v="51000"/>
    <n v="27000"/>
    <n v="24000"/>
  </r>
  <r>
    <x v="10"/>
    <n v="1"/>
    <s v="117000"/>
    <s v="90000"/>
    <d v="2025-08-31T00:00:00"/>
    <n v="117000"/>
    <n v="90000"/>
    <n v="27000"/>
  </r>
  <r>
    <x v="1"/>
    <n v="1"/>
    <s v="181000"/>
    <s v="110000"/>
    <d v="2026-05-04T00:00:00"/>
    <n v="181000"/>
    <n v="110000"/>
    <n v="71000"/>
  </r>
  <r>
    <x v="8"/>
    <n v="1"/>
    <s v="85000"/>
    <s v="46000"/>
    <d v="2025-05-18T00:00:00"/>
    <n v="85000"/>
    <n v="46000"/>
    <n v="39000"/>
  </r>
  <r>
    <x v="15"/>
    <n v="2"/>
    <s v="126000"/>
    <s v="95000"/>
    <d v="2026-02-19T00:00:00"/>
    <n v="252000"/>
    <n v="190000"/>
    <n v="62000"/>
  </r>
  <r>
    <x v="0"/>
    <n v="2"/>
    <s v="145000"/>
    <s v="84000"/>
    <d v="2025-06-24T00:00:00"/>
    <n v="290000"/>
    <n v="168000"/>
    <n v="122000"/>
  </r>
  <r>
    <x v="16"/>
    <n v="1"/>
    <s v="₦97,000"/>
    <s v="₦67,000"/>
    <m/>
    <m/>
    <m/>
    <m/>
  </r>
  <r>
    <x v="15"/>
    <n v="1"/>
    <s v="189000"/>
    <s v="120000"/>
    <d v="2025-04-10T00:00:00"/>
    <n v="189000"/>
    <n v="120000"/>
    <n v="69000"/>
  </r>
  <r>
    <x v="4"/>
    <n v="1"/>
    <s v="306000"/>
    <s v="162000"/>
    <d v="2025-08-09T00:00:00"/>
    <n v="306000"/>
    <n v="162000"/>
    <n v="144000"/>
  </r>
  <r>
    <x v="11"/>
    <n v="1"/>
    <s v="₦ 82,000"/>
    <s v="56000"/>
    <d v="2026-05-28T00:00:00"/>
    <n v="82000"/>
    <n v="56000"/>
    <n v="26000"/>
  </r>
  <r>
    <x v="3"/>
    <n v="3"/>
    <s v="65000"/>
    <s v="41000"/>
    <d v="2025-09-18T00:00:00"/>
    <m/>
    <m/>
    <m/>
  </r>
  <r>
    <x v="16"/>
    <n v="2"/>
    <s v="140000"/>
    <s v="105000"/>
    <d v="2026-06-28T00:00:00"/>
    <m/>
    <m/>
    <m/>
  </r>
  <r>
    <x v="13"/>
    <n v="1"/>
    <s v="75000"/>
    <s v="55000"/>
    <d v="2025-01-07T00:00:00"/>
    <m/>
    <m/>
    <m/>
  </r>
  <r>
    <x v="2"/>
    <n v="1"/>
    <s v="104000"/>
    <s v="75000"/>
    <d v="2025-10-06T00:00:00"/>
    <n v="104000"/>
    <n v="75000"/>
    <n v="29000"/>
  </r>
  <r>
    <x v="5"/>
    <n v="3"/>
    <s v="69000"/>
    <s v="41000"/>
    <d v="2026-01-12T00:00:00"/>
    <n v="207000"/>
    <n v="123000"/>
    <n v="84000"/>
  </r>
  <r>
    <x v="13"/>
    <n v="2"/>
    <s v="97000"/>
    <s v="₦64,000"/>
    <d v="2025-10-26T00:00:00"/>
    <n v="194000"/>
    <n v="128000"/>
    <n v="66000"/>
  </r>
  <r>
    <x v="15"/>
    <n v="1"/>
    <s v="116000"/>
    <s v="67000"/>
    <d v="2025-08-17T00:00:00"/>
    <n v="116000"/>
    <n v="67000"/>
    <n v="49000"/>
  </r>
  <r>
    <x v="3"/>
    <n v="1"/>
    <s v="58000"/>
    <s v="44000"/>
    <d v="2025-04-25T00:00:00"/>
    <n v="58000"/>
    <n v="44000"/>
    <n v="14000"/>
  </r>
  <r>
    <x v="2"/>
    <n v="1"/>
    <s v="96000"/>
    <s v="56000"/>
    <d v="2026-07-17T00:00:00"/>
    <n v="96000"/>
    <n v="56000"/>
    <n v="40000"/>
  </r>
  <r>
    <x v="12"/>
    <n v="1"/>
    <s v="23000"/>
    <s v="13000"/>
    <d v="2025-05-30T00:00:00"/>
    <n v="23000"/>
    <n v="13000"/>
    <n v="10000"/>
  </r>
  <r>
    <x v="12"/>
    <n v="3"/>
    <s v="21000"/>
    <s v="14000"/>
    <d v="2025-02-26T00:00:00"/>
    <n v="63000"/>
    <n v="42000"/>
    <n v="21000"/>
  </r>
  <r>
    <x v="3"/>
    <n v="1"/>
    <s v="79000"/>
    <s v="47000"/>
    <d v="2025-06-05T00:00:00"/>
    <n v="79000"/>
    <n v="47000"/>
    <n v="32000"/>
  </r>
  <r>
    <x v="2"/>
    <n v="3"/>
    <s v="119,000"/>
    <s v="88000"/>
    <d v="2025-05-03T00:00:00"/>
    <n v="357000"/>
    <n v="264000"/>
    <n v="93000"/>
  </r>
  <r>
    <x v="1"/>
    <n v="2"/>
    <s v="214000"/>
    <s v="149,000"/>
    <d v="2025-07-20T00:00:00"/>
    <n v="428000"/>
    <n v="298000"/>
    <n v="130000"/>
  </r>
  <r>
    <x v="4"/>
    <n v="2"/>
    <s v="317000"/>
    <s v="204000"/>
    <d v="2025-04-21T00:00:00"/>
    <n v="634000"/>
    <n v="408000"/>
    <n v="226000"/>
  </r>
  <r>
    <x v="14"/>
    <n v="1"/>
    <s v="₦ 89,000"/>
    <s v="64000"/>
    <d v="2025-02-18T00:00:00"/>
    <n v="89000"/>
    <n v="64000"/>
    <n v="25000"/>
  </r>
  <r>
    <x v="2"/>
    <n v="1"/>
    <s v="170000"/>
    <s v="91000"/>
    <d v="2025-09-06T00:00:00"/>
    <n v="170000"/>
    <n v="91000"/>
    <n v="79000"/>
  </r>
  <r>
    <x v="1"/>
    <n v="1"/>
    <s v="223000"/>
    <s v="121000"/>
    <d v="2026-05-23T00:00:00"/>
    <n v="223000"/>
    <n v="121000"/>
    <n v="102000"/>
  </r>
  <r>
    <x v="14"/>
    <n v="3"/>
    <s v="72000"/>
    <s v="38000"/>
    <d v="2025-11-20T00:00:00"/>
    <n v="216000"/>
    <n v="114000"/>
    <n v="102000"/>
  </r>
  <r>
    <x v="13"/>
    <n v="1"/>
    <s v="126000"/>
    <s v="67000"/>
    <d v="2025-05-02T00:00:00"/>
    <n v="126000"/>
    <n v="67000"/>
    <n v="59000"/>
  </r>
  <r>
    <x v="2"/>
    <n v="2"/>
    <s v="154000"/>
    <s v="93000"/>
    <d v="2025-04-14T00:00:00"/>
    <n v="308000"/>
    <n v="186000"/>
    <n v="122000"/>
  </r>
  <r>
    <x v="14"/>
    <n v="2"/>
    <s v="98000"/>
    <s v="66000"/>
    <d v="2025-08-18T00:00:00"/>
    <n v="196000"/>
    <n v="132000"/>
    <n v="64000"/>
  </r>
  <r>
    <x v="19"/>
    <n v="1"/>
    <s v="66000"/>
    <s v="47000"/>
    <d v="2026-03-10T00:00:00"/>
    <n v="66000"/>
    <n v="47000"/>
    <n v="19000"/>
  </r>
  <r>
    <x v="3"/>
    <n v="1"/>
    <s v="111000"/>
    <s v="84000"/>
    <d v="2025-03-13T00:00:00"/>
    <n v="111000"/>
    <n v="84000"/>
    <n v="27000"/>
  </r>
  <r>
    <x v="3"/>
    <n v="1"/>
    <s v="61000"/>
    <s v="46000"/>
    <d v="2025-01-08T00:00:00"/>
    <n v="61000"/>
    <n v="46000"/>
    <n v="15000"/>
  </r>
  <r>
    <x v="14"/>
    <n v="1"/>
    <s v="97000"/>
    <s v="63000"/>
    <d v="2025-06-10T00:00:00"/>
    <n v="97000"/>
    <n v="63000"/>
    <n v="34000"/>
  </r>
  <r>
    <x v="2"/>
    <n v="2"/>
    <s v="₦ 157,000"/>
    <s v="99000"/>
    <d v="2025-09-01T00:00:00"/>
    <n v="314000"/>
    <n v="198000"/>
    <n v="116000"/>
  </r>
  <r>
    <x v="14"/>
    <n v="1"/>
    <s v="60000"/>
    <s v="41000"/>
    <d v="2025-11-10T00:00:00"/>
    <n v="60000"/>
    <n v="41000"/>
    <n v="19000"/>
  </r>
  <r>
    <x v="2"/>
    <n v="2"/>
    <s v="97000"/>
    <s v="75000"/>
    <d v="2026-01-23T00:00:00"/>
    <n v="194000"/>
    <n v="150000"/>
    <n v="44000"/>
  </r>
  <r>
    <x v="2"/>
    <n v="1"/>
    <s v="177000"/>
    <s v="125000"/>
    <d v="2025-04-19T00:00:00"/>
    <n v="177000"/>
    <n v="125000"/>
    <n v="52000"/>
  </r>
  <r>
    <x v="7"/>
    <n v="1"/>
    <s v="7000"/>
    <s v="4000"/>
    <d v="2025-07-22T00:00:00"/>
    <n v="7000"/>
    <n v="4000"/>
    <n v="3000"/>
  </r>
  <r>
    <x v="5"/>
    <n v="4"/>
    <s v="50000"/>
    <s v="28000"/>
    <d v="2026-03-03T00:00:00"/>
    <n v="200000"/>
    <n v="112000"/>
    <n v="88000"/>
  </r>
  <r>
    <x v="9"/>
    <n v="1"/>
    <s v="62000"/>
    <s v="33000"/>
    <d v="2025-03-17T00:00:00"/>
    <n v="62000"/>
    <n v="33000"/>
    <n v="29000"/>
  </r>
  <r>
    <x v="8"/>
    <n v="1"/>
    <s v="36000"/>
    <s v="27000"/>
    <d v="2026-04-14T00:00:00"/>
    <n v="36000"/>
    <n v="27000"/>
    <n v="9000"/>
  </r>
  <r>
    <x v="16"/>
    <n v="1"/>
    <s v="153000"/>
    <s v="114000"/>
    <d v="2026-03-10T00:00:00"/>
    <n v="153000"/>
    <n v="114000"/>
    <n v="39000"/>
  </r>
  <r>
    <x v="2"/>
    <n v="4"/>
    <s v="101000"/>
    <s v="73000"/>
    <d v="2025-08-02T00:00:00"/>
    <n v="404000"/>
    <n v="292000"/>
    <n v="112000"/>
  </r>
  <r>
    <x v="8"/>
    <n v="1"/>
    <s v="70000"/>
    <s v="54000"/>
    <d v="2026-07-17T00:00:00"/>
    <n v="70000"/>
    <n v="54000"/>
    <n v="16000"/>
  </r>
  <r>
    <x v="14"/>
    <n v="1"/>
    <s v="93000"/>
    <s v="59000"/>
    <d v="2026-02-08T00:00:00"/>
    <n v="93000"/>
    <n v="59000"/>
    <n v="34000"/>
  </r>
  <r>
    <x v="9"/>
    <n v="1"/>
    <s v="50000"/>
    <s v="26000"/>
    <d v="2025-10-24T00:00:00"/>
    <n v="50000"/>
    <n v="26000"/>
    <n v="24000"/>
  </r>
  <r>
    <x v="14"/>
    <n v="2"/>
    <s v="69000"/>
    <s v="49000"/>
    <d v="2026-01-19T00:00:00"/>
    <n v="138000"/>
    <n v="98000"/>
    <n v="40000"/>
  </r>
  <r>
    <x v="9"/>
    <n v="1"/>
    <s v="101000"/>
    <s v="64000"/>
    <d v="2026-07-30T00:00:00"/>
    <n v="101000"/>
    <n v="64000"/>
    <n v="37000"/>
  </r>
  <r>
    <x v="0"/>
    <n v="2"/>
    <s v="170000"/>
    <s v="129,000"/>
    <d v="2025-04-19T00:00:00"/>
    <n v="340000"/>
    <n v="258000"/>
    <n v="82000"/>
  </r>
  <r>
    <x v="15"/>
    <n v="1"/>
    <s v="96000"/>
    <s v="50000"/>
    <d v="2026-08-05T00:00:00"/>
    <n v="96000"/>
    <n v="50000"/>
    <n v="46000"/>
  </r>
  <r>
    <x v="2"/>
    <n v="1"/>
    <s v="147000"/>
    <s v="82000"/>
    <m/>
    <m/>
    <m/>
    <m/>
  </r>
  <r>
    <x v="12"/>
    <n v="1"/>
    <s v="29000"/>
    <s v="₦20,000"/>
    <d v="2025-04-01T00:00:00"/>
    <n v="29000"/>
    <n v="20000"/>
    <n v="9000"/>
  </r>
  <r>
    <x v="2"/>
    <n v="1"/>
    <s v="145000"/>
    <s v="96000"/>
    <d v="2025-05-02T00:00:00"/>
    <n v="145000"/>
    <n v="96000"/>
    <n v="49000"/>
  </r>
  <r>
    <x v="12"/>
    <n v="3"/>
    <s v="39000"/>
    <s v="28000"/>
    <d v="2025-06-29T00:00:00"/>
    <n v="117000"/>
    <n v="84000"/>
    <n v="33000"/>
  </r>
  <r>
    <x v="13"/>
    <n v="1"/>
    <s v="139000"/>
    <s v="93000"/>
    <d v="2025-05-26T00:00:00"/>
    <n v="139000"/>
    <n v="93000"/>
    <n v="46000"/>
  </r>
  <r>
    <x v="14"/>
    <n v="4"/>
    <s v="61000"/>
    <s v="45000"/>
    <d v="2025-04-26T00:00:00"/>
    <n v="244000"/>
    <n v="180000"/>
    <n v="64000"/>
  </r>
  <r>
    <x v="0"/>
    <n v="1"/>
    <s v="144000"/>
    <s v="101000"/>
    <d v="2025-06-10T00:00:00"/>
    <n v="144000"/>
    <n v="101000"/>
    <n v="43000"/>
  </r>
  <r>
    <x v="3"/>
    <n v="1"/>
    <s v="70000"/>
    <s v="43000"/>
    <d v="2026-10-06T00:00:00"/>
    <n v="70000"/>
    <n v="43000"/>
    <n v="27000"/>
  </r>
  <r>
    <x v="8"/>
    <n v="1"/>
    <s v="56000"/>
    <s v="42,000"/>
    <d v="2025-10-01T00:00:00"/>
    <n v="56000"/>
    <n v="42000"/>
    <n v="14000"/>
  </r>
  <r>
    <x v="6"/>
    <n v="1"/>
    <s v="47000"/>
    <s v="36000"/>
    <d v="2025-09-03T00:00:00"/>
    <n v="47000"/>
    <n v="36000"/>
    <n v="11000"/>
  </r>
  <r>
    <x v="13"/>
    <n v="1"/>
    <s v="131000"/>
    <s v="86000"/>
    <d v="2026-04-17T00:00:00"/>
    <n v="131000"/>
    <n v="86000"/>
    <n v="45000"/>
  </r>
  <r>
    <x v="11"/>
    <n v="1"/>
    <s v="78000"/>
    <s v="55000"/>
    <d v="2025-06-12T00:00:00"/>
    <n v="78000"/>
    <n v="55000"/>
    <n v="23000"/>
  </r>
  <r>
    <x v="7"/>
    <n v="2"/>
    <s v="6000"/>
    <s v="4000"/>
    <d v="2025-10-21T00:00:00"/>
    <n v="12000"/>
    <n v="8000"/>
    <n v="4000"/>
  </r>
  <r>
    <x v="10"/>
    <n v="3"/>
    <s v="215000"/>
    <s v="140000"/>
    <d v="2025-11-09T00:00:00"/>
    <n v="645000"/>
    <n v="420000"/>
    <n v="225000"/>
  </r>
  <r>
    <x v="0"/>
    <n v="1"/>
    <s v="228000"/>
    <s v="149000"/>
    <d v="2026-06-13T00:00:00"/>
    <n v="228000"/>
    <n v="149000"/>
    <n v="79000"/>
  </r>
  <r>
    <x v="0"/>
    <n v="2"/>
    <s v="290000"/>
    <s v="157000"/>
    <d v="2025-11-08T00:00:00"/>
    <n v="580000"/>
    <n v="314000"/>
    <n v="266000"/>
  </r>
  <r>
    <x v="17"/>
    <n v="1"/>
    <s v="66000"/>
    <s v="38000"/>
    <d v="2025-10-05T00:00:00"/>
    <n v="66000"/>
    <n v="38000"/>
    <n v="28000"/>
  </r>
  <r>
    <x v="17"/>
    <n v="2"/>
    <s v="48000"/>
    <s v="31000"/>
    <d v="2025-04-20T00:00:00"/>
    <n v="96000"/>
    <n v="62000"/>
    <n v="34000"/>
  </r>
  <r>
    <x v="17"/>
    <n v="1"/>
    <s v="68000"/>
    <s v="43000"/>
    <d v="2025-11-16T00:00:00"/>
    <n v="68000"/>
    <n v="43000"/>
    <n v="25000"/>
  </r>
  <r>
    <x v="8"/>
    <n v="1"/>
    <s v="68000"/>
    <s v="51000"/>
    <d v="2026-06-14T00:00:00"/>
    <n v="68000"/>
    <n v="51000"/>
    <n v="17000"/>
  </r>
  <r>
    <x v="6"/>
    <n v="1"/>
    <s v="47000"/>
    <s v="36000"/>
    <d v="2025-09-03T00:00:00"/>
    <n v="47000"/>
    <n v="36000"/>
    <n v="11000"/>
  </r>
  <r>
    <x v="2"/>
    <n v="1"/>
    <s v="95000"/>
    <s v="73000"/>
    <d v="2025-08-03T00:00:00"/>
    <n v="95000"/>
    <n v="73000"/>
    <n v="22000"/>
  </r>
  <r>
    <x v="2"/>
    <n v="2"/>
    <s v="192000"/>
    <s v="116000"/>
    <d v="2025-05-03T00:00:00"/>
    <n v="384000"/>
    <n v="232000"/>
    <n v="152000"/>
  </r>
  <r>
    <x v="12"/>
    <n v="1"/>
    <s v="22000"/>
    <s v="14000"/>
    <d v="2026-07-23T00:00:00"/>
    <n v="22000"/>
    <n v="14000"/>
    <n v="8000"/>
  </r>
  <r>
    <x v="6"/>
    <n v="2"/>
    <s v="42000"/>
    <s v="24000"/>
    <d v="2026-05-04T00:00:00"/>
    <n v="84000"/>
    <n v="48000"/>
    <n v="36000"/>
  </r>
  <r>
    <x v="16"/>
    <n v="1"/>
    <s v="157000"/>
    <s v="84000"/>
    <d v="2026-04-07T00:00:00"/>
    <n v="157000"/>
    <n v="84000"/>
    <n v="73000"/>
  </r>
  <r>
    <x v="17"/>
    <n v="1"/>
    <s v="57000"/>
    <s v="39000"/>
    <d v="2025-12-30T00:00:00"/>
    <n v="57000"/>
    <n v="39000"/>
    <n v="18000"/>
  </r>
  <r>
    <x v="12"/>
    <n v="1"/>
    <s v="43000"/>
    <s v="29000"/>
    <d v="2026-01-17T00:00:00"/>
    <n v="43000"/>
    <n v="29000"/>
    <n v="14000"/>
  </r>
  <r>
    <x v="1"/>
    <n v="2"/>
    <s v="211000"/>
    <s v="117000"/>
    <d v="2025-06-26T00:00:00"/>
    <n v="422000"/>
    <n v="234000"/>
    <n v="188000"/>
  </r>
  <r>
    <x v="9"/>
    <n v="2"/>
    <s v="68000"/>
    <s v="45000"/>
    <d v="2025-09-07T00:00:00"/>
    <n v="136000"/>
    <n v="90000"/>
    <n v="46000"/>
  </r>
  <r>
    <x v="10"/>
    <n v="1"/>
    <s v="228000"/>
    <s v="123000"/>
    <d v="2025-03-28T00:00:00"/>
    <n v="228000"/>
    <n v="123000"/>
    <n v="105000"/>
  </r>
  <r>
    <x v="9"/>
    <n v="1"/>
    <s v="84000"/>
    <s v="46000"/>
    <d v="2025-06-22T00:00:00"/>
    <m/>
    <m/>
    <m/>
  </r>
  <r>
    <x v="10"/>
    <m/>
    <s v="190000"/>
    <s v="145000"/>
    <d v="2025-01-24T00:00:00"/>
    <m/>
    <m/>
    <m/>
  </r>
  <r>
    <x v="16"/>
    <n v="1"/>
    <s v="139000"/>
    <s v="107000"/>
    <d v="2025-02-01T00:00:00"/>
    <m/>
    <m/>
    <m/>
  </r>
  <r>
    <x v="2"/>
    <n v="3"/>
    <s v="180000"/>
    <s v="104000"/>
    <d v="2025-06-12T00:00:00"/>
    <n v="540000"/>
    <n v="312000"/>
    <n v="228000"/>
  </r>
  <r>
    <x v="2"/>
    <n v="3"/>
    <s v="130000"/>
    <s v="99000"/>
    <d v="2026-03-15T00:00:00"/>
    <n v="390000"/>
    <n v="297000"/>
    <n v="93000"/>
  </r>
  <r>
    <x v="8"/>
    <n v="1"/>
    <s v="54000"/>
    <s v="34000"/>
    <d v="2025-05-01T00:00:00"/>
    <n v="54000"/>
    <n v="34000"/>
    <n v="20000"/>
  </r>
  <r>
    <x v="13"/>
    <n v="1"/>
    <s v="138000"/>
    <s v="95000"/>
    <d v="2025-01-27T00:00:00"/>
    <n v="138000"/>
    <n v="95000"/>
    <n v="43000"/>
  </r>
  <r>
    <x v="12"/>
    <n v="1"/>
    <s v="32000"/>
    <s v="23000"/>
    <d v="2025-11-24T00:00:00"/>
    <n v="32000"/>
    <n v="23000"/>
    <n v="9000"/>
  </r>
  <r>
    <x v="7"/>
    <n v="1"/>
    <s v="7000"/>
    <s v="4000"/>
    <d v="2025-07-19T00:00:00"/>
    <n v="7000"/>
    <n v="4000"/>
    <n v="3000"/>
  </r>
  <r>
    <x v="8"/>
    <n v="1"/>
    <s v="64000"/>
    <s v="49000"/>
    <d v="2025-07-26T00:00:00"/>
    <n v="64000"/>
    <n v="49000"/>
    <n v="15000"/>
  </r>
  <r>
    <x v="11"/>
    <n v="1"/>
    <s v="62000"/>
    <s v="45000"/>
    <d v="2025-02-05T00:00:00"/>
    <n v="62000"/>
    <n v="45000"/>
    <n v="17000"/>
  </r>
  <r>
    <x v="4"/>
    <n v="1"/>
    <s v="334000"/>
    <s v="183000"/>
    <d v="2026-04-06T00:00:00"/>
    <n v="334000"/>
    <n v="183000"/>
    <n v="151000"/>
  </r>
  <r>
    <x v="17"/>
    <n v="2"/>
    <s v="59000"/>
    <s v="31000"/>
    <d v="2025-01-26T00:00:00"/>
    <n v="118000"/>
    <n v="62000"/>
    <n v="56000"/>
  </r>
  <r>
    <x v="0"/>
    <n v="1"/>
    <s v="239000"/>
    <s v="133000"/>
    <d v="2025-03-08T00:00:00"/>
    <n v="239000"/>
    <n v="133000"/>
    <n v="106000"/>
  </r>
  <r>
    <x v="4"/>
    <n v="3"/>
    <s v="275000"/>
    <s v="213000"/>
    <m/>
    <m/>
    <m/>
    <m/>
  </r>
  <r>
    <x v="17"/>
    <n v="1"/>
    <s v="62000"/>
    <s v="₦48,000"/>
    <d v="2025-12-18T00:00:00"/>
    <n v="62000"/>
    <n v="48000"/>
    <n v="14000"/>
  </r>
  <r>
    <x v="2"/>
    <n v="2"/>
    <s v="91000"/>
    <s v="50000"/>
    <d v="2026-03-16T00:00:00"/>
    <n v="182000"/>
    <n v="100000"/>
    <n v="82000"/>
  </r>
  <r>
    <x v="7"/>
    <n v="1"/>
    <s v="5000"/>
    <s v="4000"/>
    <d v="2025-10-12T00:00:00"/>
    <n v="5000"/>
    <n v="4000"/>
    <n v="1000"/>
  </r>
  <r>
    <x v="1"/>
    <n v="2"/>
    <s v="133000"/>
    <s v="78000"/>
    <d v="2026-03-13T00:00:00"/>
    <n v="266000"/>
    <n v="156000"/>
    <n v="110000"/>
  </r>
  <r>
    <x v="2"/>
    <n v="1"/>
    <s v="167000"/>
    <s v="93000"/>
    <d v="2025-02-16T00:00:00"/>
    <n v="167000"/>
    <n v="93000"/>
    <n v="74000"/>
  </r>
  <r>
    <x v="7"/>
    <n v="1"/>
    <s v="7000"/>
    <s v="4000"/>
    <d v="2026-07-23T00:00:00"/>
    <n v="7000"/>
    <n v="4000"/>
    <n v="3000"/>
  </r>
  <r>
    <x v="2"/>
    <n v="1"/>
    <s v="184000"/>
    <s v="121000"/>
    <d v="2025-09-12T00:00:00"/>
    <n v="184000"/>
    <n v="121000"/>
    <n v="63000"/>
  </r>
  <r>
    <x v="20"/>
    <m/>
    <m/>
    <m/>
    <m/>
    <m/>
    <m/>
    <m/>
  </r>
  <r>
    <x v="20"/>
    <m/>
    <m/>
    <m/>
    <m/>
    <m/>
    <m/>
    <m/>
  </r>
  <r>
    <x v="20"/>
    <m/>
    <m/>
    <m/>
    <m/>
    <m/>
    <m/>
    <m/>
  </r>
  <r>
    <x v="20"/>
    <m/>
    <m/>
    <m/>
    <m/>
    <m/>
    <m/>
    <m/>
  </r>
  <r>
    <x v="20"/>
    <m/>
    <m/>
    <m/>
    <m/>
    <m/>
    <m/>
    <m/>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5">
  <r>
    <x v="0"/>
    <n v="206000"/>
  </r>
  <r>
    <x v="1"/>
    <n v="308000"/>
  </r>
  <r>
    <x v="2"/>
    <n v="111000"/>
  </r>
  <r>
    <x v="3"/>
    <n v="64000"/>
  </r>
  <r>
    <x v="4"/>
    <n v="238000"/>
  </r>
  <r>
    <x v="5"/>
    <m/>
  </r>
  <r>
    <x v="6"/>
    <n v="114000"/>
  </r>
  <r>
    <x v="7"/>
    <n v="422000"/>
  </r>
  <r>
    <x v="8"/>
    <n v="172000"/>
  </r>
  <r>
    <x v="9"/>
    <n v="8000"/>
  </r>
  <r>
    <x v="10"/>
    <n v="396000"/>
  </r>
  <r>
    <x v="11"/>
    <n v="71000"/>
  </r>
  <r>
    <x v="12"/>
    <n v="580000"/>
  </r>
  <r>
    <x v="13"/>
    <n v="95000"/>
  </r>
  <r>
    <x v="14"/>
    <n v="1240000"/>
  </r>
  <r>
    <x v="15"/>
    <m/>
  </r>
  <r>
    <x v="16"/>
    <n v="278000"/>
  </r>
  <r>
    <x v="17"/>
    <n v="264000"/>
  </r>
  <r>
    <x v="18"/>
    <n v="504000"/>
  </r>
  <r>
    <x v="19"/>
    <n v="31000"/>
  </r>
  <r>
    <x v="20"/>
    <n v="82000"/>
  </r>
  <r>
    <x v="21"/>
    <m/>
  </r>
  <r>
    <x v="22"/>
    <n v="89000"/>
  </r>
  <r>
    <x v="23"/>
    <n v="126000"/>
  </r>
  <r>
    <x v="24"/>
    <m/>
  </r>
  <r>
    <x v="25"/>
    <n v="297000"/>
  </r>
  <r>
    <x v="26"/>
    <n v="73000"/>
  </r>
  <r>
    <x v="27"/>
    <n v="80000"/>
  </r>
  <r>
    <x v="28"/>
    <n v="45000"/>
  </r>
  <r>
    <x v="29"/>
    <n v="110000"/>
  </r>
  <r>
    <x v="30"/>
    <n v="54000"/>
  </r>
  <r>
    <x v="31"/>
    <n v="90000"/>
  </r>
  <r>
    <x v="32"/>
    <n v="124000"/>
  </r>
  <r>
    <x v="33"/>
    <n v="111000"/>
  </r>
  <r>
    <x v="34"/>
    <n v="306000"/>
  </r>
  <r>
    <x v="35"/>
    <n v="244000"/>
  </r>
  <r>
    <x v="36"/>
    <m/>
  </r>
  <r>
    <x v="34"/>
    <n v="253000"/>
  </r>
  <r>
    <x v="37"/>
    <n v="89000"/>
  </r>
  <r>
    <x v="11"/>
    <n v="256000"/>
  </r>
  <r>
    <x v="38"/>
    <n v="72000"/>
  </r>
  <r>
    <x v="39"/>
    <n v="96000"/>
  </r>
  <r>
    <x v="40"/>
    <n v="206000"/>
  </r>
  <r>
    <x v="41"/>
    <n v="89000"/>
  </r>
  <r>
    <x v="42"/>
    <n v="6000"/>
  </r>
  <r>
    <x v="43"/>
    <n v="8000"/>
  </r>
  <r>
    <x v="44"/>
    <n v="40000"/>
  </r>
  <r>
    <x v="45"/>
    <n v="61000"/>
  </r>
  <r>
    <x v="46"/>
    <n v="177000"/>
  </r>
  <r>
    <x v="21"/>
    <m/>
  </r>
  <r>
    <x v="47"/>
    <n v="291000"/>
  </r>
  <r>
    <x v="48"/>
    <n v="58000"/>
  </r>
  <r>
    <x v="49"/>
    <n v="259000"/>
  </r>
  <r>
    <x v="50"/>
    <n v="239000"/>
  </r>
  <r>
    <x v="51"/>
    <n v="189000"/>
  </r>
  <r>
    <x v="52"/>
    <m/>
  </r>
  <r>
    <x v="53"/>
    <n v="48000"/>
  </r>
  <r>
    <x v="10"/>
    <n v="120000"/>
  </r>
  <r>
    <x v="21"/>
    <m/>
  </r>
  <r>
    <x v="54"/>
    <n v="206000"/>
  </r>
  <r>
    <x v="55"/>
    <n v="182000"/>
  </r>
  <r>
    <x v="56"/>
    <n v="108000"/>
  </r>
  <r>
    <x v="57"/>
    <n v="60000"/>
  </r>
  <r>
    <x v="58"/>
    <n v="474000"/>
  </r>
  <r>
    <x v="59"/>
    <n v="62000"/>
  </r>
  <r>
    <x v="60"/>
    <n v="93000"/>
  </r>
  <r>
    <x v="61"/>
    <n v="182000"/>
  </r>
  <r>
    <x v="15"/>
    <n v="228000"/>
  </r>
  <r>
    <x v="62"/>
    <n v="76000"/>
  </r>
  <r>
    <x v="63"/>
    <m/>
  </r>
  <r>
    <x v="64"/>
    <m/>
  </r>
  <r>
    <x v="65"/>
    <n v="67000"/>
  </r>
  <r>
    <x v="66"/>
    <n v="296000"/>
  </r>
  <r>
    <x v="67"/>
    <n v="65000"/>
  </r>
  <r>
    <x v="68"/>
    <n v="98000"/>
  </r>
  <r>
    <x v="69"/>
    <n v="43000"/>
  </r>
  <r>
    <x v="70"/>
    <n v="248000"/>
  </r>
  <r>
    <x v="71"/>
    <n v="155000"/>
  </r>
  <r>
    <x v="72"/>
    <n v="68000"/>
  </r>
  <r>
    <x v="73"/>
    <n v="81000"/>
  </r>
  <r>
    <x v="74"/>
    <n v="166000"/>
  </r>
  <r>
    <x v="75"/>
    <n v="22000"/>
  </r>
  <r>
    <x v="76"/>
    <n v="70000"/>
  </r>
  <r>
    <x v="77"/>
    <n v="85000"/>
  </r>
  <r>
    <x v="21"/>
    <m/>
  </r>
  <r>
    <x v="78"/>
    <m/>
  </r>
  <r>
    <x v="79"/>
    <n v="83000"/>
  </r>
  <r>
    <x v="80"/>
    <n v="239000"/>
  </r>
  <r>
    <x v="81"/>
    <n v="107000"/>
  </r>
  <r>
    <x v="82"/>
    <n v="91000"/>
  </r>
  <r>
    <x v="83"/>
    <n v="80000"/>
  </r>
  <r>
    <x v="84"/>
    <n v="233000"/>
  </r>
  <r>
    <x v="85"/>
    <n v="45000"/>
  </r>
  <r>
    <x v="86"/>
    <n v="106000"/>
  </r>
  <r>
    <x v="71"/>
    <n v="176000"/>
  </r>
  <r>
    <x v="2"/>
    <n v="77000"/>
  </r>
  <r>
    <x v="87"/>
    <n v="173000"/>
  </r>
  <r>
    <x v="88"/>
    <n v="36000"/>
  </r>
  <r>
    <x v="89"/>
    <n v="129000"/>
  </r>
  <r>
    <x v="90"/>
    <n v="12000"/>
  </r>
  <r>
    <x v="91"/>
    <n v="73000"/>
  </r>
  <r>
    <x v="92"/>
    <n v="50000"/>
  </r>
  <r>
    <x v="93"/>
    <n v="157000"/>
  </r>
  <r>
    <x v="94"/>
    <n v="76000"/>
  </r>
  <r>
    <x v="95"/>
    <n v="51000"/>
  </r>
  <r>
    <x v="96"/>
    <n v="117000"/>
  </r>
  <r>
    <x v="97"/>
    <n v="181000"/>
  </r>
  <r>
    <x v="98"/>
    <n v="85000"/>
  </r>
  <r>
    <x v="99"/>
    <n v="252000"/>
  </r>
  <r>
    <x v="100"/>
    <n v="290000"/>
  </r>
  <r>
    <x v="21"/>
    <m/>
  </r>
  <r>
    <x v="101"/>
    <n v="189000"/>
  </r>
  <r>
    <x v="102"/>
    <n v="306000"/>
  </r>
  <r>
    <x v="103"/>
    <n v="82000"/>
  </r>
  <r>
    <x v="104"/>
    <m/>
  </r>
  <r>
    <x v="105"/>
    <m/>
  </r>
  <r>
    <x v="106"/>
    <m/>
  </r>
  <r>
    <x v="107"/>
    <n v="104000"/>
  </r>
  <r>
    <x v="108"/>
    <n v="207000"/>
  </r>
  <r>
    <x v="109"/>
    <n v="194000"/>
  </r>
  <r>
    <x v="8"/>
    <n v="116000"/>
  </r>
  <r>
    <x v="110"/>
    <n v="58000"/>
  </r>
  <r>
    <x v="111"/>
    <n v="96000"/>
  </r>
  <r>
    <x v="112"/>
    <n v="23000"/>
  </r>
  <r>
    <x v="24"/>
    <n v="63000"/>
  </r>
  <r>
    <x v="113"/>
    <n v="79000"/>
  </r>
  <r>
    <x v="4"/>
    <n v="357000"/>
  </r>
  <r>
    <x v="114"/>
    <n v="428000"/>
  </r>
  <r>
    <x v="115"/>
    <n v="634000"/>
  </r>
  <r>
    <x v="116"/>
    <n v="89000"/>
  </r>
  <r>
    <x v="117"/>
    <n v="170000"/>
  </r>
  <r>
    <x v="118"/>
    <n v="223000"/>
  </r>
  <r>
    <x v="119"/>
    <n v="216000"/>
  </r>
  <r>
    <x v="120"/>
    <n v="126000"/>
  </r>
  <r>
    <x v="121"/>
    <n v="308000"/>
  </r>
  <r>
    <x v="26"/>
    <n v="196000"/>
  </r>
  <r>
    <x v="122"/>
    <n v="66000"/>
  </r>
  <r>
    <x v="123"/>
    <n v="111000"/>
  </r>
  <r>
    <x v="124"/>
    <n v="61000"/>
  </r>
  <r>
    <x v="125"/>
    <n v="97000"/>
  </r>
  <r>
    <x v="126"/>
    <n v="314000"/>
  </r>
  <r>
    <x v="39"/>
    <n v="60000"/>
  </r>
  <r>
    <x v="127"/>
    <n v="194000"/>
  </r>
  <r>
    <x v="128"/>
    <n v="177000"/>
  </r>
  <r>
    <x v="129"/>
    <n v="7000"/>
  </r>
  <r>
    <x v="130"/>
    <n v="200000"/>
  </r>
  <r>
    <x v="131"/>
    <n v="62000"/>
  </r>
  <r>
    <x v="36"/>
    <n v="36000"/>
  </r>
  <r>
    <x v="122"/>
    <n v="153000"/>
  </r>
  <r>
    <x v="132"/>
    <n v="404000"/>
  </r>
  <r>
    <x v="111"/>
    <n v="70000"/>
  </r>
  <r>
    <x v="60"/>
    <n v="93000"/>
  </r>
  <r>
    <x v="72"/>
    <n v="50000"/>
  </r>
  <r>
    <x v="133"/>
    <n v="138000"/>
  </r>
  <r>
    <x v="134"/>
    <n v="101000"/>
  </r>
  <r>
    <x v="128"/>
    <n v="340000"/>
  </r>
  <r>
    <x v="135"/>
    <n v="96000"/>
  </r>
  <r>
    <x v="21"/>
    <m/>
  </r>
  <r>
    <x v="33"/>
    <n v="29000"/>
  </r>
  <r>
    <x v="120"/>
    <n v="145000"/>
  </r>
  <r>
    <x v="136"/>
    <n v="117000"/>
  </r>
  <r>
    <x v="137"/>
    <n v="139000"/>
  </r>
  <r>
    <x v="138"/>
    <n v="244000"/>
  </r>
  <r>
    <x v="125"/>
    <n v="144000"/>
  </r>
  <r>
    <x v="139"/>
    <n v="70000"/>
  </r>
  <r>
    <x v="140"/>
    <n v="56000"/>
  </r>
  <r>
    <x v="141"/>
    <n v="47000"/>
  </r>
  <r>
    <x v="142"/>
    <n v="131000"/>
  </r>
  <r>
    <x v="143"/>
    <n v="78000"/>
  </r>
  <r>
    <x v="66"/>
    <n v="12000"/>
  </r>
  <r>
    <x v="144"/>
    <n v="645000"/>
  </r>
  <r>
    <x v="145"/>
    <n v="228000"/>
  </r>
  <r>
    <x v="12"/>
    <n v="580000"/>
  </r>
  <r>
    <x v="28"/>
    <n v="66000"/>
  </r>
  <r>
    <x v="146"/>
    <n v="96000"/>
  </r>
  <r>
    <x v="147"/>
    <n v="68000"/>
  </r>
  <r>
    <x v="148"/>
    <n v="68000"/>
  </r>
  <r>
    <x v="141"/>
    <n v="47000"/>
  </r>
  <r>
    <x v="95"/>
    <n v="95000"/>
  </r>
  <r>
    <x v="4"/>
    <n v="384000"/>
  </r>
  <r>
    <x v="35"/>
    <n v="22000"/>
  </r>
  <r>
    <x v="97"/>
    <n v="84000"/>
  </r>
  <r>
    <x v="52"/>
    <n v="157000"/>
  </r>
  <r>
    <x v="74"/>
    <n v="57000"/>
  </r>
  <r>
    <x v="149"/>
    <n v="43000"/>
  </r>
  <r>
    <x v="150"/>
    <n v="422000"/>
  </r>
  <r>
    <x v="151"/>
    <n v="136000"/>
  </r>
  <r>
    <x v="152"/>
    <n v="228000"/>
  </r>
  <r>
    <x v="153"/>
    <m/>
  </r>
  <r>
    <x v="154"/>
    <m/>
  </r>
  <r>
    <x v="155"/>
    <m/>
  </r>
  <r>
    <x v="143"/>
    <n v="540000"/>
  </r>
  <r>
    <x v="156"/>
    <n v="390000"/>
  </r>
  <r>
    <x v="157"/>
    <n v="54000"/>
  </r>
  <r>
    <x v="158"/>
    <n v="138000"/>
  </r>
  <r>
    <x v="159"/>
    <n v="32000"/>
  </r>
  <r>
    <x v="160"/>
    <n v="7000"/>
  </r>
  <r>
    <x v="94"/>
    <n v="64000"/>
  </r>
  <r>
    <x v="161"/>
    <n v="62000"/>
  </r>
  <r>
    <x v="162"/>
    <n v="334000"/>
  </r>
  <r>
    <x v="163"/>
    <n v="118000"/>
  </r>
  <r>
    <x v="50"/>
    <n v="239000"/>
  </r>
  <r>
    <x v="21"/>
    <m/>
  </r>
  <r>
    <x v="164"/>
    <n v="62000"/>
  </r>
  <r>
    <x v="61"/>
    <n v="182000"/>
  </r>
  <r>
    <x v="165"/>
    <n v="5000"/>
  </r>
  <r>
    <x v="166"/>
    <n v="266000"/>
  </r>
  <r>
    <x v="167"/>
    <n v="167000"/>
  </r>
  <r>
    <x v="35"/>
    <n v="7000"/>
  </r>
  <r>
    <x v="168"/>
    <n v="184000"/>
  </r>
  <r>
    <x v="21"/>
    <m/>
  </r>
  <r>
    <x v="21"/>
    <m/>
  </r>
  <r>
    <x v="21"/>
    <m/>
  </r>
  <r>
    <x v="21"/>
    <m/>
  </r>
  <r>
    <x v="21"/>
    <m/>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0">
  <r>
    <n v="1"/>
    <x v="0"/>
    <x v="0"/>
    <x v="0"/>
    <s v="206000"/>
    <s v="118000"/>
    <x v="0"/>
    <n v="206000"/>
    <n v="118000"/>
    <n v="88000"/>
    <n v="0.42718446601941745"/>
  </r>
  <r>
    <n v="2"/>
    <x v="1"/>
    <x v="1"/>
    <x v="1"/>
    <s v="154000"/>
    <s v="116000"/>
    <x v="1"/>
    <n v="308000"/>
    <n v="232000"/>
    <n v="76000"/>
    <n v="0.24675324675324675"/>
  </r>
  <r>
    <n v="3"/>
    <x v="2"/>
    <x v="2"/>
    <x v="0"/>
    <s v="111000"/>
    <s v="68000"/>
    <x v="2"/>
    <n v="111000"/>
    <n v="68000"/>
    <n v="43000"/>
    <n v="0.38738738738738737"/>
  </r>
  <r>
    <n v="4"/>
    <x v="3"/>
    <x v="3"/>
    <x v="0"/>
    <s v="64000"/>
    <s v="36000"/>
    <x v="3"/>
    <n v="64000"/>
    <n v="36000"/>
    <n v="28000"/>
    <n v="0.4375"/>
  </r>
  <r>
    <n v="5"/>
    <x v="4"/>
    <x v="4"/>
    <x v="0"/>
    <s v="238,000"/>
    <s v="141000"/>
    <x v="4"/>
    <n v="238000"/>
    <n v="141000"/>
    <n v="97000"/>
    <n v="0.40756302521008403"/>
  </r>
  <r>
    <n v="6"/>
    <x v="5"/>
    <x v="5"/>
    <x v="2"/>
    <s v="76000"/>
    <s v="59000"/>
    <x v="5"/>
    <m/>
    <m/>
    <m/>
    <m/>
  </r>
  <r>
    <n v="7"/>
    <x v="6"/>
    <x v="6"/>
    <x v="3"/>
    <s v="38000"/>
    <s v="27000"/>
    <x v="6"/>
    <n v="114000"/>
    <n v="81000"/>
    <n v="33000"/>
    <n v="0.28947368421052633"/>
  </r>
  <r>
    <n v="8"/>
    <x v="7"/>
    <x v="2"/>
    <x v="1"/>
    <s v="211000"/>
    <s v="161000"/>
    <x v="7"/>
    <n v="422000"/>
    <n v="322000"/>
    <n v="100000"/>
    <n v="0.23696682464454977"/>
  </r>
  <r>
    <n v="9"/>
    <x v="8"/>
    <x v="1"/>
    <x v="0"/>
    <s v="172000"/>
    <s v="127000"/>
    <x v="8"/>
    <n v="172000"/>
    <n v="127000"/>
    <n v="45000"/>
    <n v="0.26162790697674421"/>
  </r>
  <r>
    <n v="10"/>
    <x v="9"/>
    <x v="7"/>
    <x v="1"/>
    <s v="4000"/>
    <s v="2000"/>
    <x v="9"/>
    <n v="8000"/>
    <n v="4000"/>
    <n v="4000"/>
    <n v="0.5"/>
  </r>
  <r>
    <n v="11"/>
    <x v="10"/>
    <x v="1"/>
    <x v="1"/>
    <s v="198000"/>
    <s v="137000"/>
    <x v="10"/>
    <n v="396000"/>
    <n v="274000"/>
    <n v="122000"/>
    <n v="0.30808080808080807"/>
  </r>
  <r>
    <n v="12"/>
    <x v="11"/>
    <x v="8"/>
    <x v="0"/>
    <s v="71000"/>
    <s v="51000"/>
    <x v="11"/>
    <n v="71000"/>
    <n v="51000"/>
    <n v="20000"/>
    <n v="0.28169014084507044"/>
  </r>
  <r>
    <n v="13"/>
    <x v="12"/>
    <x v="0"/>
    <x v="1"/>
    <s v="290000"/>
    <s v="157000"/>
    <x v="12"/>
    <n v="580000"/>
    <n v="314000"/>
    <n v="266000"/>
    <n v="0.45862068965517239"/>
  </r>
  <r>
    <n v="14"/>
    <x v="13"/>
    <x v="3"/>
    <x v="0"/>
    <s v="95000"/>
    <s v="68000"/>
    <x v="13"/>
    <n v="95000"/>
    <n v="68000"/>
    <n v="27000"/>
    <n v="0.28421052631578947"/>
  </r>
  <r>
    <n v="15"/>
    <x v="14"/>
    <x v="4"/>
    <x v="4"/>
    <s v="248000"/>
    <s v="169000"/>
    <x v="14"/>
    <n v="1240000"/>
    <n v="845000"/>
    <n v="395000"/>
    <n v="0.31854838709677419"/>
  </r>
  <r>
    <n v="16"/>
    <x v="15"/>
    <x v="9"/>
    <x v="2"/>
    <s v="79000"/>
    <s v="48000"/>
    <x v="15"/>
    <m/>
    <m/>
    <m/>
    <m/>
  </r>
  <r>
    <n v="17"/>
    <x v="16"/>
    <x v="10"/>
    <x v="1"/>
    <s v="139000"/>
    <s v="76000"/>
    <x v="16"/>
    <n v="278000"/>
    <n v="152000"/>
    <n v="126000"/>
    <n v="0.45323741007194246"/>
  </r>
  <r>
    <n v="18"/>
    <x v="17"/>
    <x v="11"/>
    <x v="3"/>
    <s v="88000"/>
    <s v="65000"/>
    <x v="17"/>
    <n v="264000"/>
    <n v="195000"/>
    <n v="69000"/>
    <n v="0.26136363636363635"/>
  </r>
  <r>
    <n v="19"/>
    <x v="18"/>
    <x v="0"/>
    <x v="3"/>
    <s v="168000"/>
    <s v="89,000"/>
    <x v="18"/>
    <n v="504000"/>
    <n v="267000"/>
    <n v="237000"/>
    <n v="0.47023809523809523"/>
  </r>
  <r>
    <n v="20"/>
    <x v="19"/>
    <x v="12"/>
    <x v="0"/>
    <s v="31000"/>
    <s v="19000"/>
    <x v="19"/>
    <n v="31000"/>
    <n v="19000"/>
    <n v="12000"/>
    <n v="0.38709677419354838"/>
  </r>
  <r>
    <n v="21"/>
    <x v="20"/>
    <x v="5"/>
    <x v="0"/>
    <s v="82000"/>
    <s v="46000"/>
    <x v="20"/>
    <n v="82000"/>
    <n v="46000"/>
    <n v="36000"/>
    <n v="0.43902439024390244"/>
  </r>
  <r>
    <n v="22"/>
    <x v="21"/>
    <x v="9"/>
    <x v="3"/>
    <s v="94000"/>
    <s v="71000"/>
    <x v="21"/>
    <m/>
    <m/>
    <m/>
    <m/>
  </r>
  <r>
    <n v="23"/>
    <x v="22"/>
    <x v="9"/>
    <x v="0"/>
    <s v="89000"/>
    <s v="49000"/>
    <x v="22"/>
    <n v="89000"/>
    <n v="49000"/>
    <n v="40000"/>
    <n v="0.449438202247191"/>
  </r>
  <r>
    <n v="24"/>
    <x v="23"/>
    <x v="13"/>
    <x v="0"/>
    <s v="126000"/>
    <s v="95000"/>
    <x v="23"/>
    <n v="126000"/>
    <n v="95000"/>
    <n v="31000"/>
    <n v="0.24603174603174602"/>
  </r>
  <r>
    <n v="25"/>
    <x v="24"/>
    <x v="14"/>
    <x v="2"/>
    <s v="81000"/>
    <s v="57000"/>
    <x v="24"/>
    <m/>
    <m/>
    <m/>
    <m/>
  </r>
  <r>
    <n v="26"/>
    <x v="25"/>
    <x v="14"/>
    <x v="3"/>
    <s v="99000"/>
    <s v="63000"/>
    <x v="25"/>
    <n v="297000"/>
    <n v="189000"/>
    <n v="108000"/>
    <n v="0.36363636363636365"/>
  </r>
  <r>
    <n v="27"/>
    <x v="26"/>
    <x v="13"/>
    <x v="0"/>
    <s v="73000"/>
    <s v="51000"/>
    <x v="26"/>
    <n v="73000"/>
    <n v="51000"/>
    <n v="22000"/>
    <n v="0.30136986301369861"/>
  </r>
  <r>
    <n v="28"/>
    <x v="27"/>
    <x v="12"/>
    <x v="1"/>
    <s v="40000"/>
    <s v="26000"/>
    <x v="27"/>
    <n v="80000"/>
    <n v="52000"/>
    <n v="28000"/>
    <n v="0.35"/>
  </r>
  <r>
    <n v="29"/>
    <x v="28"/>
    <x v="14"/>
    <x v="0"/>
    <s v="45000"/>
    <s v="27000"/>
    <x v="28"/>
    <n v="45000"/>
    <n v="27000"/>
    <n v="18000"/>
    <n v="0.4"/>
  </r>
  <r>
    <n v="30"/>
    <x v="29"/>
    <x v="15"/>
    <x v="0"/>
    <s v="110000"/>
    <s v="69000"/>
    <x v="29"/>
    <n v="110000"/>
    <n v="69000"/>
    <n v="41000"/>
    <n v="0.37272727272727274"/>
  </r>
  <r>
    <n v="31"/>
    <x v="30"/>
    <x v="14"/>
    <x v="0"/>
    <s v="54000"/>
    <s v="40000"/>
    <x v="30"/>
    <n v="54000"/>
    <n v="40000"/>
    <n v="14000"/>
    <n v="0.25925925925925924"/>
  </r>
  <r>
    <n v="32"/>
    <x v="31"/>
    <x v="13"/>
    <x v="0"/>
    <s v="90000"/>
    <s v="67000"/>
    <x v="31"/>
    <n v="90000"/>
    <n v="67000"/>
    <n v="23000"/>
    <n v="0.25555555555555554"/>
  </r>
  <r>
    <n v="33"/>
    <x v="32"/>
    <x v="0"/>
    <x v="0"/>
    <s v="124000"/>
    <s v="94000"/>
    <x v="32"/>
    <n v="124000"/>
    <n v="94000"/>
    <n v="30000"/>
    <n v="0.24193548387096775"/>
  </r>
  <r>
    <n v="34"/>
    <x v="33"/>
    <x v="3"/>
    <x v="0"/>
    <s v="111000"/>
    <s v="67000"/>
    <x v="33"/>
    <n v="111000"/>
    <n v="67000"/>
    <n v="44000"/>
    <n v="0.3963963963963964"/>
  </r>
  <r>
    <n v="35"/>
    <x v="0"/>
    <x v="16"/>
    <x v="1"/>
    <s v="153000"/>
    <s v="82000"/>
    <x v="34"/>
    <n v="306000"/>
    <n v="164000"/>
    <n v="142000"/>
    <n v="0.46405228758169936"/>
  </r>
  <r>
    <n v="36"/>
    <x v="34"/>
    <x v="8"/>
    <x v="5"/>
    <s v="61000"/>
    <s v="34000"/>
    <x v="35"/>
    <n v="244000"/>
    <n v="136000"/>
    <n v="108000"/>
    <n v="0.44262295081967212"/>
  </r>
  <r>
    <n v="37"/>
    <x v="35"/>
    <x v="8"/>
    <x v="3"/>
    <s v="48000"/>
    <s v="32000"/>
    <x v="36"/>
    <m/>
    <m/>
    <m/>
    <m/>
  </r>
  <r>
    <n v="38"/>
    <x v="36"/>
    <x v="0"/>
    <x v="0"/>
    <s v="253000"/>
    <s v="134000"/>
    <x v="34"/>
    <n v="253000"/>
    <n v="134000"/>
    <n v="119000"/>
    <n v="0.47035573122529645"/>
  </r>
  <r>
    <n v="39"/>
    <x v="37"/>
    <x v="3"/>
    <x v="0"/>
    <s v="89000"/>
    <s v="59000"/>
    <x v="37"/>
    <n v="89000"/>
    <n v="59000"/>
    <n v="30000"/>
    <n v="0.33707865168539325"/>
  </r>
  <r>
    <n v="40"/>
    <x v="38"/>
    <x v="3"/>
    <x v="5"/>
    <s v="64,000"/>
    <s v="48000"/>
    <x v="11"/>
    <n v="256000"/>
    <n v="192000"/>
    <n v="64000"/>
    <n v="0.25"/>
  </r>
  <r>
    <n v="41"/>
    <x v="32"/>
    <x v="17"/>
    <x v="0"/>
    <s v="72000"/>
    <s v="53000"/>
    <x v="38"/>
    <n v="72000"/>
    <n v="53000"/>
    <n v="19000"/>
    <n v="0.2638888888888889"/>
  </r>
  <r>
    <n v="42"/>
    <x v="39"/>
    <x v="3"/>
    <x v="0"/>
    <s v="96000"/>
    <s v="52000"/>
    <x v="39"/>
    <n v="96000"/>
    <n v="52000"/>
    <n v="44000"/>
    <n v="0.45833333333333331"/>
  </r>
  <r>
    <n v="43"/>
    <x v="40"/>
    <x v="2"/>
    <x v="0"/>
    <s v="206000"/>
    <s v="115000"/>
    <x v="40"/>
    <n v="206000"/>
    <n v="115000"/>
    <n v="91000"/>
    <n v="0.44174757281553401"/>
  </r>
  <r>
    <n v="44"/>
    <x v="41"/>
    <x v="3"/>
    <x v="0"/>
    <s v="89000"/>
    <s v="62000"/>
    <x v="41"/>
    <n v="89000"/>
    <n v="62000"/>
    <n v="27000"/>
    <n v="0.30337078651685395"/>
  </r>
  <r>
    <n v="45"/>
    <x v="42"/>
    <x v="7"/>
    <x v="0"/>
    <s v="6000"/>
    <s v="5000"/>
    <x v="42"/>
    <n v="6000"/>
    <n v="5000"/>
    <n v="1000"/>
    <n v="0.16666666666666666"/>
  </r>
  <r>
    <n v="46"/>
    <x v="43"/>
    <x v="7"/>
    <x v="0"/>
    <s v="8000"/>
    <s v="5000"/>
    <x v="43"/>
    <n v="8000"/>
    <n v="5000"/>
    <n v="3000"/>
    <n v="0.375"/>
  </r>
  <r>
    <n v="47"/>
    <x v="44"/>
    <x v="8"/>
    <x v="0"/>
    <s v="40000"/>
    <s v="22000"/>
    <x v="44"/>
    <n v="40000"/>
    <n v="22000"/>
    <n v="18000"/>
    <n v="0.45"/>
  </r>
  <r>
    <n v="48"/>
    <x v="45"/>
    <x v="8"/>
    <x v="0"/>
    <s v="61000"/>
    <s v="44000"/>
    <x v="45"/>
    <n v="61000"/>
    <n v="44000"/>
    <n v="17000"/>
    <n v="0.27868852459016391"/>
  </r>
  <r>
    <n v="49"/>
    <x v="22"/>
    <x v="16"/>
    <x v="0"/>
    <s v="177000"/>
    <s v="119000"/>
    <x v="46"/>
    <n v="177000"/>
    <n v="119000"/>
    <n v="58000"/>
    <n v="0.32768361581920902"/>
  </r>
  <r>
    <n v="50"/>
    <x v="46"/>
    <x v="14"/>
    <x v="1"/>
    <s v="49000"/>
    <s v="31000"/>
    <x v="21"/>
    <m/>
    <m/>
    <m/>
    <m/>
  </r>
  <r>
    <n v="51"/>
    <x v="47"/>
    <x v="0"/>
    <x v="0"/>
    <s v="291000"/>
    <s v="178000"/>
    <x v="47"/>
    <n v="291000"/>
    <n v="178000"/>
    <n v="113000"/>
    <n v="0.38831615120274915"/>
  </r>
  <r>
    <n v="52"/>
    <x v="48"/>
    <x v="8"/>
    <x v="0"/>
    <s v="58000"/>
    <s v="33000"/>
    <x v="48"/>
    <n v="58000"/>
    <n v="33000"/>
    <n v="25000"/>
    <n v="0.43103448275862066"/>
  </r>
  <r>
    <n v="53"/>
    <x v="49"/>
    <x v="0"/>
    <x v="0"/>
    <s v="₦259,000"/>
    <s v="187000"/>
    <x v="49"/>
    <n v="259000"/>
    <n v="187000"/>
    <n v="72000"/>
    <n v="0.27799227799227799"/>
  </r>
  <r>
    <n v="54"/>
    <x v="50"/>
    <x v="0"/>
    <x v="0"/>
    <s v="239000"/>
    <s v="133000"/>
    <x v="50"/>
    <n v="239000"/>
    <n v="133000"/>
    <n v="106000"/>
    <n v="0.44351464435146443"/>
  </r>
  <r>
    <n v="55"/>
    <x v="51"/>
    <x v="4"/>
    <x v="0"/>
    <s v="189000"/>
    <s v="129000"/>
    <x v="51"/>
    <n v="189000"/>
    <n v="129000"/>
    <n v="60000"/>
    <n v="0.31746031746031744"/>
  </r>
  <r>
    <n v="56"/>
    <x v="52"/>
    <x v="8"/>
    <x v="2"/>
    <s v="72000"/>
    <s v="45000"/>
    <x v="52"/>
    <m/>
    <m/>
    <m/>
    <m/>
  </r>
  <r>
    <n v="57"/>
    <x v="53"/>
    <x v="11"/>
    <x v="0"/>
    <s v="48000"/>
    <s v="31000"/>
    <x v="53"/>
    <n v="48000"/>
    <n v="31000"/>
    <n v="17000"/>
    <n v="0.35416666666666669"/>
  </r>
  <r>
    <n v="58"/>
    <x v="54"/>
    <x v="0"/>
    <x v="0"/>
    <s v="120000"/>
    <s v="84000"/>
    <x v="10"/>
    <n v="120000"/>
    <n v="84000"/>
    <n v="36000"/>
    <n v="0.3"/>
  </r>
  <r>
    <n v="59"/>
    <x v="55"/>
    <x v="0"/>
    <x v="3"/>
    <s v="217000"/>
    <s v="131000"/>
    <x v="21"/>
    <m/>
    <m/>
    <m/>
    <m/>
  </r>
  <r>
    <n v="60"/>
    <x v="56"/>
    <x v="1"/>
    <x v="0"/>
    <s v="206000"/>
    <s v="156000"/>
    <x v="54"/>
    <n v="206000"/>
    <n v="156000"/>
    <n v="50000"/>
    <n v="0.24271844660194175"/>
  </r>
  <r>
    <n v="61"/>
    <x v="33"/>
    <x v="0"/>
    <x v="0"/>
    <s v="182000"/>
    <s v="117000"/>
    <x v="55"/>
    <n v="182000"/>
    <n v="117000"/>
    <n v="65000"/>
    <n v="0.35714285714285715"/>
  </r>
  <r>
    <n v="62"/>
    <x v="57"/>
    <x v="9"/>
    <x v="0"/>
    <s v="108000"/>
    <s v="71000"/>
    <x v="56"/>
    <n v="108000"/>
    <n v="71000"/>
    <n v="37000"/>
    <n v="0.34259259259259262"/>
  </r>
  <r>
    <n v="63"/>
    <x v="58"/>
    <x v="14"/>
    <x v="0"/>
    <s v="60000"/>
    <s v="35000"/>
    <x v="57"/>
    <n v="60000"/>
    <n v="35000"/>
    <n v="25000"/>
    <n v="0.41666666666666669"/>
  </r>
  <r>
    <n v="64"/>
    <x v="59"/>
    <x v="1"/>
    <x v="1"/>
    <s v="237000"/>
    <s v="146000"/>
    <x v="58"/>
    <n v="474000"/>
    <n v="292000"/>
    <n v="182000"/>
    <n v="0.38396624472573837"/>
  </r>
  <r>
    <n v="65"/>
    <x v="60"/>
    <x v="3"/>
    <x v="0"/>
    <s v="62000"/>
    <s v="45000"/>
    <x v="59"/>
    <n v="62000"/>
    <n v="45000"/>
    <n v="17000"/>
    <n v="0.27419354838709675"/>
  </r>
  <r>
    <n v="66"/>
    <x v="61"/>
    <x v="14"/>
    <x v="0"/>
    <s v="93000"/>
    <s v="59000"/>
    <x v="60"/>
    <n v="93000"/>
    <n v="59000"/>
    <n v="34000"/>
    <n v="0.36559139784946237"/>
  </r>
  <r>
    <n v="67"/>
    <x v="62"/>
    <x v="2"/>
    <x v="1"/>
    <s v="91000"/>
    <s v="50000"/>
    <x v="61"/>
    <n v="182000"/>
    <n v="100000"/>
    <n v="82000"/>
    <n v="0.45054945054945056"/>
  </r>
  <r>
    <n v="68"/>
    <x v="63"/>
    <x v="0"/>
    <x v="0"/>
    <s v="228000"/>
    <s v="167000"/>
    <x v="15"/>
    <n v="228000"/>
    <n v="167000"/>
    <n v="61000"/>
    <n v="0.26754385964912281"/>
  </r>
  <r>
    <n v="69"/>
    <x v="64"/>
    <x v="5"/>
    <x v="0"/>
    <s v="₦ 76,000"/>
    <s v="50000"/>
    <x v="62"/>
    <n v="76000"/>
    <n v="50000"/>
    <n v="26000"/>
    <n v="0.34210526315789475"/>
  </r>
  <r>
    <n v="70"/>
    <x v="35"/>
    <x v="0"/>
    <x v="0"/>
    <s v="262000"/>
    <s v="159000"/>
    <x v="63"/>
    <m/>
    <m/>
    <m/>
    <m/>
  </r>
  <r>
    <n v="71"/>
    <x v="65"/>
    <x v="13"/>
    <x v="2"/>
    <s v="₦125,000"/>
    <s v="71000"/>
    <x v="64"/>
    <m/>
    <m/>
    <m/>
    <m/>
  </r>
  <r>
    <n v="72"/>
    <x v="49"/>
    <x v="3"/>
    <x v="0"/>
    <s v="67000"/>
    <s v="51000"/>
    <x v="65"/>
    <n v="67000"/>
    <n v="51000"/>
    <n v="16000"/>
    <n v="0.23880597014925373"/>
  </r>
  <r>
    <n v="73"/>
    <x v="66"/>
    <x v="18"/>
    <x v="0"/>
    <s v="296000"/>
    <s v="185000"/>
    <x v="66"/>
    <n v="296000"/>
    <n v="185000"/>
    <n v="111000"/>
    <n v="0.375"/>
  </r>
  <r>
    <n v="74"/>
    <x v="67"/>
    <x v="17"/>
    <x v="0"/>
    <s v="65000"/>
    <s v="48000"/>
    <x v="67"/>
    <n v="65000"/>
    <n v="48000"/>
    <n v="17000"/>
    <n v="0.26153846153846155"/>
  </r>
  <r>
    <n v="75"/>
    <x v="68"/>
    <x v="17"/>
    <x v="1"/>
    <s v="49000"/>
    <s v="35000"/>
    <x v="68"/>
    <n v="98000"/>
    <n v="70000"/>
    <n v="28000"/>
    <n v="0.2857142857142857"/>
  </r>
  <r>
    <n v="76"/>
    <x v="69"/>
    <x v="12"/>
    <x v="0"/>
    <s v="43000"/>
    <s v="23000"/>
    <x v="69"/>
    <n v="43000"/>
    <n v="23000"/>
    <n v="20000"/>
    <n v="0.46511627906976744"/>
  </r>
  <r>
    <n v="77"/>
    <x v="70"/>
    <x v="16"/>
    <x v="1"/>
    <s v="124000"/>
    <s v="78000"/>
    <x v="70"/>
    <n v="248000"/>
    <n v="156000"/>
    <n v="92000"/>
    <n v="0.37096774193548387"/>
  </r>
  <r>
    <n v="78"/>
    <x v="71"/>
    <x v="16"/>
    <x v="0"/>
    <s v="155000"/>
    <s v="113000"/>
    <x v="71"/>
    <n v="155000"/>
    <n v="113000"/>
    <n v="42000"/>
    <n v="0.2709677419354839"/>
  </r>
  <r>
    <n v="79"/>
    <x v="72"/>
    <x v="8"/>
    <x v="0"/>
    <s v="68000"/>
    <s v="44000"/>
    <x v="72"/>
    <n v="68000"/>
    <n v="44000"/>
    <n v="24000"/>
    <n v="0.35294117647058826"/>
  </r>
  <r>
    <n v="80"/>
    <x v="73"/>
    <x v="13"/>
    <x v="0"/>
    <s v="81000"/>
    <s v="49000"/>
    <x v="73"/>
    <n v="81000"/>
    <n v="49000"/>
    <n v="32000"/>
    <n v="0.39506172839506171"/>
  </r>
  <r>
    <n v="81"/>
    <x v="74"/>
    <x v="16"/>
    <x v="0"/>
    <s v="₦ 166,000"/>
    <s v="125000"/>
    <x v="74"/>
    <n v="166000"/>
    <n v="125000"/>
    <n v="41000"/>
    <n v="0.24698795180722891"/>
  </r>
  <r>
    <n v="82"/>
    <x v="75"/>
    <x v="12"/>
    <x v="0"/>
    <s v="22000"/>
    <s v="13000"/>
    <x v="75"/>
    <n v="22000"/>
    <n v="13000"/>
    <n v="9000"/>
    <n v="0.40909090909090912"/>
  </r>
  <r>
    <n v="83"/>
    <x v="12"/>
    <x v="11"/>
    <x v="0"/>
    <s v="70000"/>
    <s v="48000"/>
    <x v="76"/>
    <n v="70000"/>
    <n v="48000"/>
    <n v="22000"/>
    <n v="0.31428571428571428"/>
  </r>
  <r>
    <n v="84"/>
    <x v="76"/>
    <x v="17"/>
    <x v="0"/>
    <s v="85000"/>
    <s v="65,000"/>
    <x v="77"/>
    <n v="85000"/>
    <n v="65000"/>
    <n v="20000"/>
    <n v="0.23529411764705882"/>
  </r>
  <r>
    <n v="85"/>
    <x v="52"/>
    <x v="16"/>
    <x v="0"/>
    <s v="143000"/>
    <s v="111000"/>
    <x v="21"/>
    <m/>
    <m/>
    <m/>
    <m/>
  </r>
  <r>
    <n v="86"/>
    <x v="35"/>
    <x v="16"/>
    <x v="0"/>
    <s v="164000"/>
    <s v="101000"/>
    <x v="78"/>
    <m/>
    <m/>
    <m/>
    <m/>
  </r>
  <r>
    <n v="87"/>
    <x v="77"/>
    <x v="11"/>
    <x v="0"/>
    <s v="83000"/>
    <s v="47000"/>
    <x v="79"/>
    <n v="83000"/>
    <n v="47000"/>
    <n v="36000"/>
    <n v="0.43373493975903615"/>
  </r>
  <r>
    <n v="88"/>
    <x v="78"/>
    <x v="10"/>
    <x v="0"/>
    <s v="239000"/>
    <s v="160000"/>
    <x v="80"/>
    <n v="239000"/>
    <n v="160000"/>
    <n v="79000"/>
    <n v="0.33054393305439328"/>
  </r>
  <r>
    <n v="89"/>
    <x v="79"/>
    <x v="13"/>
    <x v="0"/>
    <s v="107,000"/>
    <s v="75000"/>
    <x v="81"/>
    <n v="107000"/>
    <n v="75000"/>
    <n v="32000"/>
    <n v="0.29906542056074764"/>
  </r>
  <r>
    <n v="90"/>
    <x v="80"/>
    <x v="13"/>
    <x v="0"/>
    <s v="91000"/>
    <s v="54000"/>
    <x v="82"/>
    <n v="91000"/>
    <n v="54000"/>
    <n v="37000"/>
    <n v="0.40659340659340659"/>
  </r>
  <r>
    <n v="91"/>
    <x v="81"/>
    <x v="15"/>
    <x v="0"/>
    <s v="₦80,000"/>
    <s v="49000"/>
    <x v="83"/>
    <n v="80000"/>
    <n v="49000"/>
    <n v="31000"/>
    <n v="0.38750000000000001"/>
  </r>
  <r>
    <n v="92"/>
    <x v="82"/>
    <x v="0"/>
    <x v="0"/>
    <s v="233000"/>
    <s v="164000"/>
    <x v="84"/>
    <n v="233000"/>
    <n v="164000"/>
    <n v="69000"/>
    <n v="0.29613733905579398"/>
  </r>
  <r>
    <n v="93"/>
    <x v="83"/>
    <x v="8"/>
    <x v="0"/>
    <s v="45000"/>
    <s v="24000"/>
    <x v="85"/>
    <n v="45000"/>
    <n v="24000"/>
    <n v="21000"/>
    <n v="0.46666666666666667"/>
  </r>
  <r>
    <n v="94"/>
    <x v="13"/>
    <x v="13"/>
    <x v="0"/>
    <s v="106000"/>
    <s v="77000"/>
    <x v="86"/>
    <n v="106000"/>
    <n v="77000"/>
    <n v="29000"/>
    <n v="0.27358490566037735"/>
  </r>
  <r>
    <n v="95"/>
    <x v="84"/>
    <x v="3"/>
    <x v="1"/>
    <s v="88000"/>
    <s v="61000"/>
    <x v="71"/>
    <n v="176000"/>
    <n v="122000"/>
    <n v="54000"/>
    <n v="0.30681818181818182"/>
  </r>
  <r>
    <n v="96"/>
    <x v="85"/>
    <x v="11"/>
    <x v="0"/>
    <s v="77000"/>
    <s v="45000"/>
    <x v="2"/>
    <n v="77000"/>
    <n v="45000"/>
    <n v="32000"/>
    <n v="0.41558441558441561"/>
  </r>
  <r>
    <n v="97"/>
    <x v="86"/>
    <x v="16"/>
    <x v="0"/>
    <s v="173000"/>
    <s v="121000"/>
    <x v="87"/>
    <n v="173000"/>
    <n v="121000"/>
    <n v="52000"/>
    <n v="0.30057803468208094"/>
  </r>
  <r>
    <n v="98"/>
    <x v="87"/>
    <x v="12"/>
    <x v="0"/>
    <s v="₦36,000"/>
    <s v="₦26,000"/>
    <x v="88"/>
    <n v="36000"/>
    <n v="26000"/>
    <n v="10000"/>
    <n v="0.27777777777777779"/>
  </r>
  <r>
    <n v="99"/>
    <x v="88"/>
    <x v="8"/>
    <x v="3"/>
    <s v="43000"/>
    <s v="26000"/>
    <x v="89"/>
    <n v="129000"/>
    <n v="78000"/>
    <n v="51000"/>
    <n v="0.39534883720930231"/>
  </r>
  <r>
    <n v="100"/>
    <x v="89"/>
    <x v="7"/>
    <x v="1"/>
    <s v="6000"/>
    <s v="4000"/>
    <x v="90"/>
    <n v="12000"/>
    <n v="8000"/>
    <n v="4000"/>
    <n v="0.33333333333333331"/>
  </r>
  <r>
    <n v="101"/>
    <x v="51"/>
    <x v="8"/>
    <x v="0"/>
    <s v="73000"/>
    <s v="46000"/>
    <x v="91"/>
    <n v="73000"/>
    <n v="46000"/>
    <n v="27000"/>
    <n v="0.36986301369863012"/>
  </r>
  <r>
    <n v="102"/>
    <x v="90"/>
    <x v="5"/>
    <x v="0"/>
    <s v="50000"/>
    <s v="37000"/>
    <x v="92"/>
    <n v="50000"/>
    <n v="37000"/>
    <n v="13000"/>
    <n v="0.26"/>
  </r>
  <r>
    <n v="103"/>
    <x v="25"/>
    <x v="16"/>
    <x v="0"/>
    <s v="157000"/>
    <s v="87000"/>
    <x v="93"/>
    <n v="157000"/>
    <n v="87000"/>
    <n v="70000"/>
    <n v="0.44585987261146498"/>
  </r>
  <r>
    <n v="104"/>
    <x v="91"/>
    <x v="8"/>
    <x v="0"/>
    <s v="76000"/>
    <s v="43000"/>
    <x v="94"/>
    <n v="76000"/>
    <n v="43000"/>
    <n v="33000"/>
    <n v="0.43421052631578949"/>
  </r>
  <r>
    <n v="105"/>
    <x v="74"/>
    <x v="14"/>
    <x v="0"/>
    <s v="51000"/>
    <s v="27000"/>
    <x v="95"/>
    <n v="51000"/>
    <n v="27000"/>
    <n v="24000"/>
    <n v="0.47058823529411764"/>
  </r>
  <r>
    <n v="106"/>
    <x v="92"/>
    <x v="10"/>
    <x v="0"/>
    <s v="117000"/>
    <s v="90000"/>
    <x v="96"/>
    <n v="117000"/>
    <n v="90000"/>
    <n v="27000"/>
    <n v="0.23076923076923078"/>
  </r>
  <r>
    <n v="107"/>
    <x v="93"/>
    <x v="1"/>
    <x v="0"/>
    <s v="181000"/>
    <s v="110000"/>
    <x v="97"/>
    <n v="181000"/>
    <n v="110000"/>
    <n v="71000"/>
    <n v="0.39226519337016574"/>
  </r>
  <r>
    <n v="108"/>
    <x v="52"/>
    <x v="8"/>
    <x v="0"/>
    <s v="85000"/>
    <s v="46000"/>
    <x v="98"/>
    <n v="85000"/>
    <n v="46000"/>
    <n v="39000"/>
    <n v="0.45882352941176469"/>
  </r>
  <r>
    <n v="109"/>
    <x v="94"/>
    <x v="15"/>
    <x v="1"/>
    <s v="126000"/>
    <s v="95000"/>
    <x v="99"/>
    <n v="252000"/>
    <n v="190000"/>
    <n v="62000"/>
    <n v="0.24603174603174602"/>
  </r>
  <r>
    <n v="110"/>
    <x v="95"/>
    <x v="0"/>
    <x v="1"/>
    <s v="145000"/>
    <s v="84000"/>
    <x v="100"/>
    <n v="290000"/>
    <n v="168000"/>
    <n v="122000"/>
    <n v="0.4206896551724138"/>
  </r>
  <r>
    <n v="111"/>
    <x v="29"/>
    <x v="16"/>
    <x v="0"/>
    <s v="₦97,000"/>
    <s v="₦67,000"/>
    <x v="21"/>
    <m/>
    <m/>
    <m/>
    <m/>
  </r>
  <r>
    <n v="112"/>
    <x v="96"/>
    <x v="15"/>
    <x v="0"/>
    <s v="189000"/>
    <s v="120000"/>
    <x v="101"/>
    <n v="189000"/>
    <n v="120000"/>
    <n v="69000"/>
    <n v="0.36507936507936506"/>
  </r>
  <r>
    <n v="113"/>
    <x v="97"/>
    <x v="4"/>
    <x v="0"/>
    <s v="306000"/>
    <s v="162000"/>
    <x v="102"/>
    <n v="306000"/>
    <n v="162000"/>
    <n v="144000"/>
    <n v="0.47058823529411764"/>
  </r>
  <r>
    <n v="114"/>
    <x v="98"/>
    <x v="11"/>
    <x v="0"/>
    <s v="₦ 82,000"/>
    <s v="56000"/>
    <x v="103"/>
    <n v="82000"/>
    <n v="56000"/>
    <n v="26000"/>
    <n v="0.31707317073170732"/>
  </r>
  <r>
    <n v="115"/>
    <x v="35"/>
    <x v="3"/>
    <x v="3"/>
    <s v="65000"/>
    <s v="41000"/>
    <x v="104"/>
    <m/>
    <m/>
    <m/>
    <m/>
  </r>
  <r>
    <n v="116"/>
    <x v="35"/>
    <x v="16"/>
    <x v="1"/>
    <s v="140000"/>
    <s v="105000"/>
    <x v="105"/>
    <m/>
    <m/>
    <m/>
    <m/>
  </r>
  <r>
    <n v="117"/>
    <x v="35"/>
    <x v="13"/>
    <x v="0"/>
    <s v="75000"/>
    <s v="55000"/>
    <x v="106"/>
    <m/>
    <m/>
    <m/>
    <m/>
  </r>
  <r>
    <n v="118"/>
    <x v="37"/>
    <x v="2"/>
    <x v="0"/>
    <s v="104000"/>
    <s v="75000"/>
    <x v="107"/>
    <n v="104000"/>
    <n v="75000"/>
    <n v="29000"/>
    <n v="0.27884615384615385"/>
  </r>
  <r>
    <n v="119"/>
    <x v="99"/>
    <x v="5"/>
    <x v="3"/>
    <s v="69000"/>
    <s v="41000"/>
    <x v="108"/>
    <n v="207000"/>
    <n v="123000"/>
    <n v="84000"/>
    <n v="0.40579710144927539"/>
  </r>
  <r>
    <n v="120"/>
    <x v="100"/>
    <x v="13"/>
    <x v="1"/>
    <s v="97000"/>
    <s v="₦64,000"/>
    <x v="109"/>
    <n v="194000"/>
    <n v="128000"/>
    <n v="66000"/>
    <n v="0.34020618556701032"/>
  </r>
  <r>
    <n v="121"/>
    <x v="101"/>
    <x v="15"/>
    <x v="0"/>
    <s v="116000"/>
    <s v="67000"/>
    <x v="8"/>
    <n v="116000"/>
    <n v="67000"/>
    <n v="49000"/>
    <n v="0.42241379310344829"/>
  </r>
  <r>
    <n v="122"/>
    <x v="102"/>
    <x v="3"/>
    <x v="0"/>
    <s v="58000"/>
    <s v="44000"/>
    <x v="110"/>
    <n v="58000"/>
    <n v="44000"/>
    <n v="14000"/>
    <n v="0.2413793103448276"/>
  </r>
  <r>
    <n v="123"/>
    <x v="103"/>
    <x v="2"/>
    <x v="0"/>
    <s v="96000"/>
    <s v="56000"/>
    <x v="111"/>
    <n v="96000"/>
    <n v="56000"/>
    <n v="40000"/>
    <n v="0.41666666666666669"/>
  </r>
  <r>
    <n v="124"/>
    <x v="104"/>
    <x v="12"/>
    <x v="0"/>
    <s v="23000"/>
    <s v="13000"/>
    <x v="112"/>
    <n v="23000"/>
    <n v="13000"/>
    <n v="10000"/>
    <n v="0.43478260869565216"/>
  </r>
  <r>
    <n v="125"/>
    <x v="105"/>
    <x v="12"/>
    <x v="3"/>
    <s v="21000"/>
    <s v="14000"/>
    <x v="24"/>
    <n v="63000"/>
    <n v="42000"/>
    <n v="21000"/>
    <n v="0.33333333333333331"/>
  </r>
  <r>
    <n v="126"/>
    <x v="106"/>
    <x v="3"/>
    <x v="0"/>
    <s v="79000"/>
    <s v="47000"/>
    <x v="113"/>
    <n v="79000"/>
    <n v="47000"/>
    <n v="32000"/>
    <n v="0.4050632911392405"/>
  </r>
  <r>
    <n v="127"/>
    <x v="107"/>
    <x v="2"/>
    <x v="3"/>
    <s v="119,000"/>
    <s v="88000"/>
    <x v="4"/>
    <n v="357000"/>
    <n v="264000"/>
    <n v="93000"/>
    <n v="0.26050420168067229"/>
  </r>
  <r>
    <n v="128"/>
    <x v="108"/>
    <x v="1"/>
    <x v="1"/>
    <s v="214000"/>
    <s v="149,000"/>
    <x v="114"/>
    <n v="428000"/>
    <n v="298000"/>
    <n v="130000"/>
    <n v="0.30373831775700932"/>
  </r>
  <r>
    <n v="129"/>
    <x v="109"/>
    <x v="4"/>
    <x v="1"/>
    <s v="317000"/>
    <s v="204000"/>
    <x v="115"/>
    <n v="634000"/>
    <n v="408000"/>
    <n v="226000"/>
    <n v="0.35646687697160884"/>
  </r>
  <r>
    <n v="130"/>
    <x v="110"/>
    <x v="14"/>
    <x v="0"/>
    <s v="₦ 89,000"/>
    <s v="64000"/>
    <x v="116"/>
    <n v="89000"/>
    <n v="64000"/>
    <n v="25000"/>
    <n v="0.2808988764044944"/>
  </r>
  <r>
    <n v="131"/>
    <x v="111"/>
    <x v="2"/>
    <x v="0"/>
    <s v="170000"/>
    <s v="91000"/>
    <x v="117"/>
    <n v="170000"/>
    <n v="91000"/>
    <n v="79000"/>
    <n v="0.46470588235294119"/>
  </r>
  <r>
    <n v="132"/>
    <x v="112"/>
    <x v="1"/>
    <x v="0"/>
    <s v="223000"/>
    <s v="121000"/>
    <x v="118"/>
    <n v="223000"/>
    <n v="121000"/>
    <n v="102000"/>
    <n v="0.45739910313901344"/>
  </r>
  <r>
    <n v="133"/>
    <x v="97"/>
    <x v="14"/>
    <x v="3"/>
    <s v="72000"/>
    <s v="38000"/>
    <x v="119"/>
    <n v="216000"/>
    <n v="114000"/>
    <n v="102000"/>
    <n v="0.47222222222222221"/>
  </r>
  <r>
    <n v="134"/>
    <x v="113"/>
    <x v="13"/>
    <x v="0"/>
    <s v="126000"/>
    <s v="67000"/>
    <x v="120"/>
    <n v="126000"/>
    <n v="67000"/>
    <n v="59000"/>
    <n v="0.46825396825396826"/>
  </r>
  <r>
    <n v="135"/>
    <x v="114"/>
    <x v="2"/>
    <x v="1"/>
    <s v="154000"/>
    <s v="93000"/>
    <x v="121"/>
    <n v="308000"/>
    <n v="186000"/>
    <n v="122000"/>
    <n v="0.39610389610389612"/>
  </r>
  <r>
    <n v="136"/>
    <x v="11"/>
    <x v="14"/>
    <x v="1"/>
    <s v="98000"/>
    <s v="66000"/>
    <x v="26"/>
    <n v="196000"/>
    <n v="132000"/>
    <n v="64000"/>
    <n v="0.32653061224489793"/>
  </r>
  <r>
    <n v="137"/>
    <x v="115"/>
    <x v="19"/>
    <x v="0"/>
    <s v="66000"/>
    <s v="47000"/>
    <x v="122"/>
    <n v="66000"/>
    <n v="47000"/>
    <n v="19000"/>
    <n v="0.2878787878787879"/>
  </r>
  <r>
    <n v="138"/>
    <x v="116"/>
    <x v="3"/>
    <x v="0"/>
    <s v="111000"/>
    <s v="84000"/>
    <x v="123"/>
    <n v="111000"/>
    <n v="84000"/>
    <n v="27000"/>
    <n v="0.24324324324324326"/>
  </r>
  <r>
    <n v="139"/>
    <x v="29"/>
    <x v="3"/>
    <x v="0"/>
    <s v="61000"/>
    <s v="46000"/>
    <x v="124"/>
    <n v="61000"/>
    <n v="46000"/>
    <n v="15000"/>
    <n v="0.24590163934426229"/>
  </r>
  <r>
    <n v="140"/>
    <x v="117"/>
    <x v="14"/>
    <x v="0"/>
    <s v="97000"/>
    <s v="63000"/>
    <x v="125"/>
    <n v="97000"/>
    <n v="63000"/>
    <n v="34000"/>
    <n v="0.35051546391752575"/>
  </r>
  <r>
    <n v="141"/>
    <x v="118"/>
    <x v="2"/>
    <x v="1"/>
    <s v="₦ 157,000"/>
    <s v="99000"/>
    <x v="126"/>
    <n v="314000"/>
    <n v="198000"/>
    <n v="116000"/>
    <n v="0.36942675159235666"/>
  </r>
  <r>
    <n v="142"/>
    <x v="119"/>
    <x v="14"/>
    <x v="0"/>
    <s v="60000"/>
    <s v="41000"/>
    <x v="39"/>
    <n v="60000"/>
    <n v="41000"/>
    <n v="19000"/>
    <n v="0.31666666666666665"/>
  </r>
  <r>
    <n v="143"/>
    <x v="120"/>
    <x v="2"/>
    <x v="1"/>
    <s v="97000"/>
    <s v="75000"/>
    <x v="127"/>
    <n v="194000"/>
    <n v="150000"/>
    <n v="44000"/>
    <n v="0.22680412371134021"/>
  </r>
  <r>
    <n v="144"/>
    <x v="121"/>
    <x v="2"/>
    <x v="0"/>
    <s v="177000"/>
    <s v="125000"/>
    <x v="128"/>
    <n v="177000"/>
    <n v="125000"/>
    <n v="52000"/>
    <n v="0.29378531073446329"/>
  </r>
  <r>
    <n v="145"/>
    <x v="122"/>
    <x v="7"/>
    <x v="0"/>
    <s v="7000"/>
    <s v="4000"/>
    <x v="129"/>
    <n v="7000"/>
    <n v="4000"/>
    <n v="3000"/>
    <n v="0.42857142857142855"/>
  </r>
  <r>
    <n v="146"/>
    <x v="33"/>
    <x v="5"/>
    <x v="5"/>
    <s v="50000"/>
    <s v="28000"/>
    <x v="130"/>
    <n v="200000"/>
    <n v="112000"/>
    <n v="88000"/>
    <n v="0.44"/>
  </r>
  <r>
    <n v="147"/>
    <x v="123"/>
    <x v="9"/>
    <x v="0"/>
    <s v="62000"/>
    <s v="33000"/>
    <x v="131"/>
    <n v="62000"/>
    <n v="33000"/>
    <n v="29000"/>
    <n v="0.46774193548387094"/>
  </r>
  <r>
    <n v="148"/>
    <x v="102"/>
    <x v="8"/>
    <x v="0"/>
    <s v="36000"/>
    <s v="27000"/>
    <x v="36"/>
    <n v="36000"/>
    <n v="27000"/>
    <n v="9000"/>
    <n v="0.25"/>
  </r>
  <r>
    <n v="149"/>
    <x v="124"/>
    <x v="16"/>
    <x v="0"/>
    <s v="153000"/>
    <s v="114000"/>
    <x v="122"/>
    <n v="153000"/>
    <n v="114000"/>
    <n v="39000"/>
    <n v="0.25490196078431371"/>
  </r>
  <r>
    <n v="150"/>
    <x v="125"/>
    <x v="2"/>
    <x v="5"/>
    <s v="101000"/>
    <s v="73000"/>
    <x v="132"/>
    <n v="404000"/>
    <n v="292000"/>
    <n v="112000"/>
    <n v="0.27722772277227725"/>
  </r>
  <r>
    <n v="151"/>
    <x v="123"/>
    <x v="8"/>
    <x v="0"/>
    <s v="70000"/>
    <s v="54000"/>
    <x v="111"/>
    <n v="70000"/>
    <n v="54000"/>
    <n v="16000"/>
    <n v="0.22857142857142856"/>
  </r>
  <r>
    <n v="152"/>
    <x v="61"/>
    <x v="14"/>
    <x v="0"/>
    <s v="93000"/>
    <s v="59000"/>
    <x v="60"/>
    <n v="93000"/>
    <n v="59000"/>
    <n v="34000"/>
    <n v="0.36559139784946237"/>
  </r>
  <r>
    <n v="153"/>
    <x v="126"/>
    <x v="9"/>
    <x v="0"/>
    <s v="50000"/>
    <s v="26000"/>
    <x v="72"/>
    <n v="50000"/>
    <n v="26000"/>
    <n v="24000"/>
    <n v="0.48"/>
  </r>
  <r>
    <n v="154"/>
    <x v="127"/>
    <x v="14"/>
    <x v="1"/>
    <s v="69000"/>
    <s v="49000"/>
    <x v="133"/>
    <n v="138000"/>
    <n v="98000"/>
    <n v="40000"/>
    <n v="0.28985507246376813"/>
  </r>
  <r>
    <n v="155"/>
    <x v="128"/>
    <x v="9"/>
    <x v="0"/>
    <s v="101000"/>
    <s v="64000"/>
    <x v="134"/>
    <n v="101000"/>
    <n v="64000"/>
    <n v="37000"/>
    <n v="0.36633663366336633"/>
  </r>
  <r>
    <n v="156"/>
    <x v="129"/>
    <x v="0"/>
    <x v="1"/>
    <s v="170000"/>
    <s v="129,000"/>
    <x v="128"/>
    <n v="340000"/>
    <n v="258000"/>
    <n v="82000"/>
    <n v="0.2411764705882353"/>
  </r>
  <r>
    <n v="157"/>
    <x v="130"/>
    <x v="15"/>
    <x v="0"/>
    <s v="96000"/>
    <s v="50000"/>
    <x v="135"/>
    <n v="96000"/>
    <n v="50000"/>
    <n v="46000"/>
    <n v="0.47916666666666669"/>
  </r>
  <r>
    <n v="158"/>
    <x v="131"/>
    <x v="2"/>
    <x v="0"/>
    <s v="147000"/>
    <s v="82000"/>
    <x v="21"/>
    <m/>
    <m/>
    <m/>
    <m/>
  </r>
  <r>
    <n v="159"/>
    <x v="132"/>
    <x v="12"/>
    <x v="0"/>
    <s v="29000"/>
    <s v="₦20,000"/>
    <x v="33"/>
    <n v="29000"/>
    <n v="20000"/>
    <n v="9000"/>
    <n v="0.31034482758620691"/>
  </r>
  <r>
    <n v="160"/>
    <x v="127"/>
    <x v="2"/>
    <x v="0"/>
    <s v="145000"/>
    <s v="96000"/>
    <x v="120"/>
    <n v="145000"/>
    <n v="96000"/>
    <n v="49000"/>
    <n v="0.33793103448275863"/>
  </r>
  <r>
    <n v="161"/>
    <x v="84"/>
    <x v="12"/>
    <x v="3"/>
    <s v="39000"/>
    <s v="28000"/>
    <x v="136"/>
    <n v="117000"/>
    <n v="84000"/>
    <n v="33000"/>
    <n v="0.28205128205128205"/>
  </r>
  <r>
    <n v="162"/>
    <x v="133"/>
    <x v="13"/>
    <x v="0"/>
    <s v="139000"/>
    <s v="93000"/>
    <x v="137"/>
    <n v="139000"/>
    <n v="93000"/>
    <n v="46000"/>
    <n v="0.33093525179856115"/>
  </r>
  <r>
    <n v="163"/>
    <x v="29"/>
    <x v="14"/>
    <x v="5"/>
    <s v="61000"/>
    <s v="45000"/>
    <x v="138"/>
    <n v="244000"/>
    <n v="180000"/>
    <n v="64000"/>
    <n v="0.26229508196721313"/>
  </r>
  <r>
    <n v="164"/>
    <x v="134"/>
    <x v="0"/>
    <x v="0"/>
    <s v="144000"/>
    <s v="101000"/>
    <x v="125"/>
    <n v="144000"/>
    <n v="101000"/>
    <n v="43000"/>
    <n v="0.2986111111111111"/>
  </r>
  <r>
    <n v="165"/>
    <x v="70"/>
    <x v="3"/>
    <x v="0"/>
    <s v="70000"/>
    <s v="43000"/>
    <x v="139"/>
    <n v="70000"/>
    <n v="43000"/>
    <n v="27000"/>
    <n v="0.38571428571428573"/>
  </r>
  <r>
    <n v="166"/>
    <x v="135"/>
    <x v="8"/>
    <x v="0"/>
    <s v="56000"/>
    <s v="42,000"/>
    <x v="140"/>
    <n v="56000"/>
    <n v="42000"/>
    <n v="14000"/>
    <n v="0.25"/>
  </r>
  <r>
    <n v="167"/>
    <x v="136"/>
    <x v="6"/>
    <x v="0"/>
    <s v="47000"/>
    <s v="36000"/>
    <x v="141"/>
    <n v="47000"/>
    <n v="36000"/>
    <n v="11000"/>
    <n v="0.23404255319148937"/>
  </r>
  <r>
    <n v="168"/>
    <x v="137"/>
    <x v="13"/>
    <x v="0"/>
    <s v="131000"/>
    <s v="86000"/>
    <x v="142"/>
    <n v="131000"/>
    <n v="86000"/>
    <n v="45000"/>
    <n v="0.34351145038167941"/>
  </r>
  <r>
    <n v="169"/>
    <x v="138"/>
    <x v="11"/>
    <x v="0"/>
    <s v="78000"/>
    <s v="55000"/>
    <x v="143"/>
    <n v="78000"/>
    <n v="55000"/>
    <n v="23000"/>
    <n v="0.29487179487179488"/>
  </r>
  <r>
    <n v="170"/>
    <x v="78"/>
    <x v="7"/>
    <x v="1"/>
    <s v="6000"/>
    <s v="4000"/>
    <x v="66"/>
    <n v="12000"/>
    <n v="8000"/>
    <n v="4000"/>
    <n v="0.33333333333333331"/>
  </r>
  <r>
    <n v="171"/>
    <x v="139"/>
    <x v="10"/>
    <x v="3"/>
    <s v="215000"/>
    <s v="140000"/>
    <x v="144"/>
    <n v="645000"/>
    <n v="420000"/>
    <n v="225000"/>
    <n v="0.34883720930232559"/>
  </r>
  <r>
    <n v="172"/>
    <x v="140"/>
    <x v="0"/>
    <x v="0"/>
    <s v="228000"/>
    <s v="149000"/>
    <x v="145"/>
    <n v="228000"/>
    <n v="149000"/>
    <n v="79000"/>
    <n v="0.34649122807017546"/>
  </r>
  <r>
    <n v="173"/>
    <x v="12"/>
    <x v="0"/>
    <x v="1"/>
    <s v="290000"/>
    <s v="157000"/>
    <x v="12"/>
    <n v="580000"/>
    <n v="314000"/>
    <n v="266000"/>
    <n v="0.45862068965517239"/>
  </r>
  <r>
    <n v="174"/>
    <x v="141"/>
    <x v="17"/>
    <x v="0"/>
    <s v="66000"/>
    <s v="38000"/>
    <x v="28"/>
    <n v="66000"/>
    <n v="38000"/>
    <n v="28000"/>
    <n v="0.42424242424242425"/>
  </r>
  <r>
    <n v="175"/>
    <x v="142"/>
    <x v="17"/>
    <x v="1"/>
    <s v="48000"/>
    <s v="31000"/>
    <x v="146"/>
    <n v="96000"/>
    <n v="62000"/>
    <n v="34000"/>
    <n v="0.35416666666666669"/>
  </r>
  <r>
    <n v="176"/>
    <x v="143"/>
    <x v="17"/>
    <x v="0"/>
    <s v="68000"/>
    <s v="43000"/>
    <x v="147"/>
    <n v="68000"/>
    <n v="43000"/>
    <n v="25000"/>
    <n v="0.36764705882352944"/>
  </r>
  <r>
    <n v="177"/>
    <x v="144"/>
    <x v="8"/>
    <x v="0"/>
    <s v="68000"/>
    <s v="51000"/>
    <x v="148"/>
    <n v="68000"/>
    <n v="51000"/>
    <n v="17000"/>
    <n v="0.25"/>
  </r>
  <r>
    <n v="178"/>
    <x v="136"/>
    <x v="6"/>
    <x v="0"/>
    <s v="47000"/>
    <s v="36000"/>
    <x v="141"/>
    <n v="47000"/>
    <n v="36000"/>
    <n v="11000"/>
    <n v="0.23404255319148937"/>
  </r>
  <r>
    <n v="179"/>
    <x v="93"/>
    <x v="2"/>
    <x v="0"/>
    <s v="95000"/>
    <s v="73000"/>
    <x v="95"/>
    <n v="95000"/>
    <n v="73000"/>
    <n v="22000"/>
    <n v="0.23157894736842105"/>
  </r>
  <r>
    <n v="180"/>
    <x v="145"/>
    <x v="2"/>
    <x v="1"/>
    <s v="192000"/>
    <s v="116000"/>
    <x v="4"/>
    <n v="384000"/>
    <n v="232000"/>
    <n v="152000"/>
    <n v="0.39583333333333331"/>
  </r>
  <r>
    <n v="181"/>
    <x v="146"/>
    <x v="12"/>
    <x v="0"/>
    <s v="22000"/>
    <s v="14000"/>
    <x v="35"/>
    <n v="22000"/>
    <n v="14000"/>
    <n v="8000"/>
    <n v="0.36363636363636365"/>
  </r>
  <r>
    <n v="182"/>
    <x v="147"/>
    <x v="6"/>
    <x v="1"/>
    <s v="42000"/>
    <s v="24000"/>
    <x v="97"/>
    <n v="84000"/>
    <n v="48000"/>
    <n v="36000"/>
    <n v="0.42857142857142855"/>
  </r>
  <r>
    <n v="183"/>
    <x v="23"/>
    <x v="16"/>
    <x v="0"/>
    <s v="157000"/>
    <s v="84000"/>
    <x v="52"/>
    <n v="157000"/>
    <n v="84000"/>
    <n v="73000"/>
    <n v="0.46496815286624205"/>
  </r>
  <r>
    <n v="184"/>
    <x v="148"/>
    <x v="17"/>
    <x v="0"/>
    <s v="57000"/>
    <s v="39000"/>
    <x v="74"/>
    <n v="57000"/>
    <n v="39000"/>
    <n v="18000"/>
    <n v="0.31578947368421051"/>
  </r>
  <r>
    <n v="185"/>
    <x v="95"/>
    <x v="12"/>
    <x v="0"/>
    <s v="43000"/>
    <s v="29000"/>
    <x v="149"/>
    <n v="43000"/>
    <n v="29000"/>
    <n v="14000"/>
    <n v="0.32558139534883723"/>
  </r>
  <r>
    <n v="186"/>
    <x v="149"/>
    <x v="1"/>
    <x v="1"/>
    <s v="211000"/>
    <s v="117000"/>
    <x v="150"/>
    <n v="422000"/>
    <n v="234000"/>
    <n v="188000"/>
    <n v="0.44549763033175355"/>
  </r>
  <r>
    <n v="187"/>
    <x v="150"/>
    <x v="9"/>
    <x v="1"/>
    <s v="68000"/>
    <s v="45000"/>
    <x v="151"/>
    <n v="136000"/>
    <n v="90000"/>
    <n v="46000"/>
    <n v="0.33823529411764708"/>
  </r>
  <r>
    <n v="188"/>
    <x v="139"/>
    <x v="10"/>
    <x v="0"/>
    <s v="228000"/>
    <s v="123000"/>
    <x v="152"/>
    <n v="228000"/>
    <n v="123000"/>
    <n v="105000"/>
    <n v="0.46052631578947367"/>
  </r>
  <r>
    <n v="189"/>
    <x v="35"/>
    <x v="9"/>
    <x v="0"/>
    <s v="84000"/>
    <s v="46000"/>
    <x v="153"/>
    <m/>
    <m/>
    <m/>
    <m/>
  </r>
  <r>
    <n v="190"/>
    <x v="151"/>
    <x v="10"/>
    <x v="2"/>
    <s v="190000"/>
    <s v="145000"/>
    <x v="154"/>
    <m/>
    <m/>
    <m/>
    <m/>
  </r>
  <r>
    <n v="191"/>
    <x v="35"/>
    <x v="16"/>
    <x v="0"/>
    <s v="139000"/>
    <s v="107000"/>
    <x v="155"/>
    <m/>
    <m/>
    <m/>
    <m/>
  </r>
  <r>
    <n v="192"/>
    <x v="152"/>
    <x v="2"/>
    <x v="3"/>
    <s v="180000"/>
    <s v="104000"/>
    <x v="143"/>
    <n v="540000"/>
    <n v="312000"/>
    <n v="228000"/>
    <n v="0.42222222222222222"/>
  </r>
  <r>
    <n v="193"/>
    <x v="153"/>
    <x v="2"/>
    <x v="3"/>
    <s v="130000"/>
    <s v="99000"/>
    <x v="156"/>
    <n v="390000"/>
    <n v="297000"/>
    <n v="93000"/>
    <n v="0.23846153846153847"/>
  </r>
  <r>
    <n v="194"/>
    <x v="154"/>
    <x v="8"/>
    <x v="0"/>
    <s v="54000"/>
    <s v="34000"/>
    <x v="157"/>
    <n v="54000"/>
    <n v="34000"/>
    <n v="20000"/>
    <n v="0.37037037037037035"/>
  </r>
  <r>
    <n v="195"/>
    <x v="155"/>
    <x v="13"/>
    <x v="0"/>
    <s v="138000"/>
    <s v="95000"/>
    <x v="158"/>
    <n v="138000"/>
    <n v="95000"/>
    <n v="43000"/>
    <n v="0.31159420289855072"/>
  </r>
  <r>
    <n v="196"/>
    <x v="156"/>
    <x v="12"/>
    <x v="0"/>
    <s v="32000"/>
    <s v="23000"/>
    <x v="159"/>
    <n v="32000"/>
    <n v="23000"/>
    <n v="9000"/>
    <n v="0.28125"/>
  </r>
  <r>
    <n v="197"/>
    <x v="157"/>
    <x v="7"/>
    <x v="0"/>
    <s v="7000"/>
    <s v="4000"/>
    <x v="160"/>
    <n v="7000"/>
    <n v="4000"/>
    <n v="3000"/>
    <n v="0.42857142857142855"/>
  </r>
  <r>
    <n v="198"/>
    <x v="158"/>
    <x v="8"/>
    <x v="0"/>
    <s v="64000"/>
    <s v="49000"/>
    <x v="94"/>
    <n v="64000"/>
    <n v="49000"/>
    <n v="15000"/>
    <n v="0.234375"/>
  </r>
  <r>
    <n v="199"/>
    <x v="159"/>
    <x v="11"/>
    <x v="0"/>
    <s v="62000"/>
    <s v="45000"/>
    <x v="161"/>
    <n v="62000"/>
    <n v="45000"/>
    <n v="17000"/>
    <n v="0.27419354838709675"/>
  </r>
  <r>
    <n v="200"/>
    <x v="8"/>
    <x v="4"/>
    <x v="0"/>
    <s v="334000"/>
    <s v="183000"/>
    <x v="162"/>
    <n v="334000"/>
    <n v="183000"/>
    <n v="151000"/>
    <n v="0.45209580838323354"/>
  </r>
  <r>
    <n v="201"/>
    <x v="160"/>
    <x v="17"/>
    <x v="1"/>
    <s v="59000"/>
    <s v="31000"/>
    <x v="163"/>
    <n v="118000"/>
    <n v="62000"/>
    <n v="56000"/>
    <n v="0.47457627118644069"/>
  </r>
  <r>
    <n v="202"/>
    <x v="50"/>
    <x v="0"/>
    <x v="0"/>
    <s v="239000"/>
    <s v="133000"/>
    <x v="50"/>
    <n v="239000"/>
    <n v="133000"/>
    <n v="106000"/>
    <n v="0.44351464435146443"/>
  </r>
  <r>
    <n v="203"/>
    <x v="161"/>
    <x v="4"/>
    <x v="3"/>
    <s v="275000"/>
    <s v="213000"/>
    <x v="21"/>
    <m/>
    <m/>
    <m/>
    <m/>
  </r>
  <r>
    <n v="204"/>
    <x v="162"/>
    <x v="17"/>
    <x v="0"/>
    <s v="62000"/>
    <s v="₦48,000"/>
    <x v="164"/>
    <n v="62000"/>
    <n v="48000"/>
    <n v="14000"/>
    <n v="0.22580645161290322"/>
  </r>
  <r>
    <n v="205"/>
    <x v="62"/>
    <x v="2"/>
    <x v="1"/>
    <s v="91000"/>
    <s v="50000"/>
    <x v="61"/>
    <n v="182000"/>
    <n v="100000"/>
    <n v="82000"/>
    <n v="0.45054945054945056"/>
  </r>
  <r>
    <n v="206"/>
    <x v="108"/>
    <x v="7"/>
    <x v="0"/>
    <s v="5000"/>
    <s v="4000"/>
    <x v="165"/>
    <n v="5000"/>
    <n v="4000"/>
    <n v="1000"/>
    <n v="0.2"/>
  </r>
  <r>
    <n v="207"/>
    <x v="163"/>
    <x v="1"/>
    <x v="1"/>
    <s v="133000"/>
    <s v="78000"/>
    <x v="166"/>
    <n v="266000"/>
    <n v="156000"/>
    <n v="110000"/>
    <n v="0.41353383458646614"/>
  </r>
  <r>
    <n v="208"/>
    <x v="164"/>
    <x v="2"/>
    <x v="0"/>
    <s v="167000"/>
    <s v="93000"/>
    <x v="167"/>
    <n v="167000"/>
    <n v="93000"/>
    <n v="74000"/>
    <n v="0.44311377245508982"/>
  </r>
  <r>
    <n v="209"/>
    <x v="165"/>
    <x v="7"/>
    <x v="0"/>
    <s v="7000"/>
    <s v="4000"/>
    <x v="35"/>
    <n v="7000"/>
    <n v="4000"/>
    <n v="3000"/>
    <n v="0.42857142857142855"/>
  </r>
  <r>
    <n v="210"/>
    <x v="166"/>
    <x v="2"/>
    <x v="0"/>
    <s v="184000"/>
    <s v="121000"/>
    <x v="168"/>
    <n v="184000"/>
    <n v="121000"/>
    <n v="63000"/>
    <n v="0.342391304347826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A8B9838-66CD-46BA-BAD5-5D0353022254}"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11">
    <pivotField showAll="0">
      <items count="21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1"/>
        <item x="210"/>
        <item t="default"/>
      </items>
    </pivotField>
    <pivotField dataField="1"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Customer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D79D7DF-E233-4644-BACC-64C503E0F71A}" name="PivotTable5"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1">
  <location ref="J3:K8" firstHeaderRow="1" firstDataRow="1" firstDataCol="1"/>
  <pivotFields count="4">
    <pivotField axis="axisRow" showAll="0">
      <items count="15">
        <item x="0"/>
        <item x="1"/>
        <item x="2"/>
        <item x="3"/>
        <item x="4"/>
        <item x="5"/>
        <item x="6"/>
        <item x="7"/>
        <item x="8"/>
        <item x="9"/>
        <item x="10"/>
        <item x="11"/>
        <item x="12"/>
        <item x="13"/>
        <item t="default"/>
      </items>
    </pivotField>
    <pivotField dataField="1" showAll="0"/>
    <pivotField axis="axisRow" showAll="0">
      <items count="7">
        <item h="1" sd="0" x="0"/>
        <item sd="0" x="1"/>
        <item sd="0" x="2"/>
        <item sd="0" x="3"/>
        <item sd="0" x="4"/>
        <item sd="0" x="5"/>
        <item t="default"/>
      </items>
    </pivotField>
    <pivotField showAll="0">
      <items count="5">
        <item sd="0" x="0"/>
        <item sd="0" x="1"/>
        <item sd="0" x="2"/>
        <item sd="0" x="3"/>
        <item t="default"/>
      </items>
    </pivotField>
  </pivotFields>
  <rowFields count="2">
    <field x="2"/>
    <field x="0"/>
  </rowFields>
  <rowItems count="5">
    <i>
      <x v="1"/>
    </i>
    <i>
      <x v="2"/>
    </i>
    <i>
      <x v="3"/>
    </i>
    <i>
      <x v="4"/>
    </i>
    <i t="grand">
      <x/>
    </i>
  </rowItems>
  <colItems count="1">
    <i/>
  </colItems>
  <dataFields count="1">
    <dataField name="Sum of Revenue(₦)" fld="1" baseField="0" baseItem="0"/>
  </dataFields>
  <chartFormats count="2">
    <chartFormat chart="17"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9129289-0D95-4B4B-95E9-D8182BEB9632}" name="PivotTable4"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location ref="G3:H11" firstHeaderRow="1" firstDataRow="1" firstDataCol="1"/>
  <pivotFields count="8">
    <pivotField axis="axisRow" showAll="0" measureFilter="1" sortType="ascending">
      <items count="22">
        <item x="10"/>
        <item x="11"/>
        <item x="6"/>
        <item x="19"/>
        <item x="3"/>
        <item x="9"/>
        <item x="16"/>
        <item x="13"/>
        <item x="14"/>
        <item x="2"/>
        <item x="4"/>
        <item x="15"/>
        <item x="1"/>
        <item x="5"/>
        <item x="0"/>
        <item x="18"/>
        <item x="8"/>
        <item x="17"/>
        <item x="7"/>
        <item x="12"/>
        <item x="2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s>
  <rowFields count="1">
    <field x="0"/>
  </rowFields>
  <rowItems count="8">
    <i>
      <x/>
    </i>
    <i>
      <x v="8"/>
    </i>
    <i>
      <x v="6"/>
    </i>
    <i>
      <x v="10"/>
    </i>
    <i>
      <x v="12"/>
    </i>
    <i>
      <x v="9"/>
    </i>
    <i>
      <x v="14"/>
    </i>
    <i t="grand">
      <x/>
    </i>
  </rowItems>
  <colItems count="1">
    <i/>
  </colItems>
  <dataFields count="1">
    <dataField name="Sum of Profit (₦)" fld="7" baseField="0" baseItem="0"/>
  </dataFields>
  <chartFormats count="2">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7" filterVal="7"/>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2B009FC-E47E-4CC3-BAEA-A0B89EC8E314}" name="PivotTable3"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D3:E11" firstHeaderRow="1" firstDataRow="1" firstDataCol="1"/>
  <pivotFields count="6">
    <pivotField axis="axisRow" showAll="0" measureFilter="1" sortType="ascending">
      <items count="22">
        <item x="10"/>
        <item x="11"/>
        <item x="6"/>
        <item x="19"/>
        <item x="3"/>
        <item x="9"/>
        <item x="16"/>
        <item x="13"/>
        <item x="14"/>
        <item x="2"/>
        <item x="4"/>
        <item x="15"/>
        <item x="1"/>
        <item x="5"/>
        <item x="0"/>
        <item x="18"/>
        <item x="8"/>
        <item x="17"/>
        <item x="7"/>
        <item x="12"/>
        <item x="2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s>
  <rowFields count="1">
    <field x="0"/>
  </rowFields>
  <rowItems count="8">
    <i>
      <x/>
    </i>
    <i>
      <x v="6"/>
    </i>
    <i>
      <x v="8"/>
    </i>
    <i>
      <x v="10"/>
    </i>
    <i>
      <x v="12"/>
    </i>
    <i>
      <x v="14"/>
    </i>
    <i>
      <x v="9"/>
    </i>
    <i t="grand">
      <x/>
    </i>
  </rowItems>
  <colItems count="1">
    <i/>
  </colItems>
  <dataFields count="1">
    <dataField name="Sum of Revenue(₦)" fld="5" baseField="0"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7" filterVal="7"/>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85B6298-0F6D-45F0-BBFB-B7300BF0DEC3}" name="PivotTable2"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10:B18" firstHeaderRow="1" firstDataRow="1" firstDataCol="1"/>
  <pivotFields count="2">
    <pivotField axis="axisRow" showAll="0" measureFilter="1" sortType="ascending">
      <items count="22">
        <item x="10"/>
        <item x="11"/>
        <item x="6"/>
        <item x="19"/>
        <item x="3"/>
        <item x="9"/>
        <item x="16"/>
        <item x="13"/>
        <item x="14"/>
        <item x="2"/>
        <item x="4"/>
        <item x="15"/>
        <item x="1"/>
        <item x="5"/>
        <item x="0"/>
        <item x="18"/>
        <item x="8"/>
        <item x="17"/>
        <item x="7"/>
        <item x="12"/>
        <item x="20"/>
        <item t="default"/>
      </items>
      <autoSortScope>
        <pivotArea dataOnly="0" outline="0" fieldPosition="0">
          <references count="1">
            <reference field="4294967294" count="1" selected="0">
              <x v="0"/>
            </reference>
          </references>
        </pivotArea>
      </autoSortScope>
    </pivotField>
    <pivotField dataField="1" showAll="0"/>
  </pivotFields>
  <rowFields count="1">
    <field x="0"/>
  </rowFields>
  <rowItems count="8">
    <i>
      <x v="6"/>
    </i>
    <i>
      <x v="19"/>
    </i>
    <i>
      <x v="4"/>
    </i>
    <i>
      <x v="8"/>
    </i>
    <i>
      <x v="16"/>
    </i>
    <i>
      <x v="14"/>
    </i>
    <i>
      <x v="9"/>
    </i>
    <i t="grand">
      <x/>
    </i>
  </rowItems>
  <colItems count="1">
    <i/>
  </colItems>
  <dataFields count="1">
    <dataField name="Sum of Quantity" fld="1" baseField="0"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7" filterVal="7"/>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01E141C-7A0B-4BB0-94DF-DAE87F12808E}" name="PivotTable2"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D4" firstHeaderRow="0" firstDataRow="1" firstDataCol="0"/>
  <pivotFields count="11">
    <pivotField showAll="0"/>
    <pivotField dataField="1" showAll="0" countASubtotal="1">
      <items count="168">
        <item x="35"/>
        <item x="45"/>
        <item x="83"/>
        <item x="157"/>
        <item x="125"/>
        <item x="5"/>
        <item x="76"/>
        <item x="151"/>
        <item x="139"/>
        <item x="154"/>
        <item x="148"/>
        <item x="7"/>
        <item x="39"/>
        <item x="150"/>
        <item x="156"/>
        <item x="164"/>
        <item x="65"/>
        <item x="95"/>
        <item x="143"/>
        <item x="1"/>
        <item x="103"/>
        <item x="79"/>
        <item x="163"/>
        <item x="91"/>
        <item x="93"/>
        <item x="142"/>
        <item x="88"/>
        <item x="0"/>
        <item x="59"/>
        <item x="90"/>
        <item x="128"/>
        <item x="147"/>
        <item x="64"/>
        <item x="66"/>
        <item x="26"/>
        <item x="149"/>
        <item x="46"/>
        <item x="94"/>
        <item x="34"/>
        <item x="22"/>
        <item x="29"/>
        <item x="78"/>
        <item x="49"/>
        <item x="140"/>
        <item x="158"/>
        <item x="134"/>
        <item x="86"/>
        <item x="92"/>
        <item x="122"/>
        <item x="68"/>
        <item x="9"/>
        <item x="120"/>
        <item x="107"/>
        <item x="85"/>
        <item x="145"/>
        <item x="73"/>
        <item x="24"/>
        <item x="37"/>
        <item x="118"/>
        <item x="127"/>
        <item x="69"/>
        <item x="133"/>
        <item x="61"/>
        <item x="117"/>
        <item x="104"/>
        <item x="89"/>
        <item x="27"/>
        <item x="106"/>
        <item x="102"/>
        <item x="10"/>
        <item x="40"/>
        <item x="81"/>
        <item x="87"/>
        <item x="166"/>
        <item x="44"/>
        <item x="82"/>
        <item x="75"/>
        <item x="152"/>
        <item x="23"/>
        <item x="31"/>
        <item x="135"/>
        <item x="72"/>
        <item x="2"/>
        <item x="144"/>
        <item x="136"/>
        <item x="138"/>
        <item x="14"/>
        <item x="47"/>
        <item x="96"/>
        <item x="108"/>
        <item x="109"/>
        <item x="131"/>
        <item x="11"/>
        <item x="48"/>
        <item x="153"/>
        <item x="160"/>
        <item x="3"/>
        <item x="112"/>
        <item x="132"/>
        <item x="115"/>
        <item x="116"/>
        <item x="55"/>
        <item x="15"/>
        <item x="4"/>
        <item x="159"/>
        <item x="84"/>
        <item x="50"/>
        <item x="129"/>
        <item x="80"/>
        <item x="19"/>
        <item x="25"/>
        <item x="56"/>
        <item x="30"/>
        <item x="12"/>
        <item x="114"/>
        <item x="124"/>
        <item x="141"/>
        <item x="58"/>
        <item x="165"/>
        <item x="32"/>
        <item x="155"/>
        <item x="111"/>
        <item x="6"/>
        <item x="99"/>
        <item x="146"/>
        <item x="77"/>
        <item x="97"/>
        <item x="20"/>
        <item x="162"/>
        <item x="121"/>
        <item x="13"/>
        <item x="105"/>
        <item x="51"/>
        <item x="36"/>
        <item x="33"/>
        <item x="57"/>
        <item x="67"/>
        <item x="54"/>
        <item x="101"/>
        <item x="126"/>
        <item x="42"/>
        <item x="119"/>
        <item x="43"/>
        <item x="18"/>
        <item x="16"/>
        <item x="98"/>
        <item x="63"/>
        <item x="53"/>
        <item x="52"/>
        <item x="71"/>
        <item x="17"/>
        <item x="113"/>
        <item x="38"/>
        <item x="110"/>
        <item x="21"/>
        <item x="62"/>
        <item x="123"/>
        <item x="28"/>
        <item x="161"/>
        <item x="60"/>
        <item x="74"/>
        <item x="100"/>
        <item x="41"/>
        <item x="137"/>
        <item x="8"/>
        <item x="70"/>
        <item x="130"/>
        <item t="countA"/>
      </items>
    </pivotField>
    <pivotField dataField="1" showAll="0">
      <items count="21">
        <item x="10"/>
        <item x="11"/>
        <item x="6"/>
        <item x="19"/>
        <item x="3"/>
        <item x="9"/>
        <item x="16"/>
        <item x="13"/>
        <item x="14"/>
        <item x="2"/>
        <item x="4"/>
        <item x="15"/>
        <item x="1"/>
        <item x="5"/>
        <item x="0"/>
        <item x="18"/>
        <item x="8"/>
        <item x="17"/>
        <item x="7"/>
        <item x="12"/>
        <item t="default"/>
      </items>
    </pivotField>
    <pivotField showAll="0">
      <items count="7">
        <item x="0"/>
        <item x="1"/>
        <item x="3"/>
        <item x="5"/>
        <item x="4"/>
        <item x="2"/>
        <item t="default"/>
      </items>
    </pivotField>
    <pivotField showAll="0"/>
    <pivotField showAll="0"/>
    <pivotField showAll="0">
      <items count="170">
        <item x="51"/>
        <item x="106"/>
        <item x="124"/>
        <item x="73"/>
        <item x="19"/>
        <item x="154"/>
        <item x="59"/>
        <item x="163"/>
        <item x="158"/>
        <item x="155"/>
        <item x="161"/>
        <item x="27"/>
        <item x="167"/>
        <item x="116"/>
        <item x="2"/>
        <item x="24"/>
        <item x="45"/>
        <item x="23"/>
        <item x="92"/>
        <item x="50"/>
        <item x="123"/>
        <item x="131"/>
        <item x="77"/>
        <item x="49"/>
        <item x="31"/>
        <item x="152"/>
        <item x="33"/>
        <item x="68"/>
        <item x="18"/>
        <item x="101"/>
        <item x="7"/>
        <item x="121"/>
        <item x="128"/>
        <item x="146"/>
        <item x="115"/>
        <item x="40"/>
        <item x="110"/>
        <item x="138"/>
        <item x="157"/>
        <item x="120"/>
        <item x="4"/>
        <item x="9"/>
        <item x="47"/>
        <item x="29"/>
        <item x="98"/>
        <item x="137"/>
        <item x="112"/>
        <item x="22"/>
        <item x="113"/>
        <item x="125"/>
        <item x="143"/>
        <item x="6"/>
        <item x="80"/>
        <item x="76"/>
        <item x="153"/>
        <item x="37"/>
        <item x="100"/>
        <item x="150"/>
        <item x="55"/>
        <item x="136"/>
        <item x="83"/>
        <item x="160"/>
        <item x="114"/>
        <item x="129"/>
        <item x="94"/>
        <item x="44"/>
        <item x="132"/>
        <item x="95"/>
        <item x="102"/>
        <item x="63"/>
        <item x="8"/>
        <item x="26"/>
        <item x="56"/>
        <item x="81"/>
        <item x="96"/>
        <item x="126"/>
        <item x="141"/>
        <item x="117"/>
        <item x="151"/>
        <item x="168"/>
        <item x="69"/>
        <item x="104"/>
        <item x="140"/>
        <item x="28"/>
        <item x="107"/>
        <item x="30"/>
        <item x="165"/>
        <item x="20"/>
        <item x="86"/>
        <item x="41"/>
        <item x="66"/>
        <item x="72"/>
        <item x="109"/>
        <item x="12"/>
        <item x="144"/>
        <item x="39"/>
        <item x="32"/>
        <item x="147"/>
        <item x="43"/>
        <item x="119"/>
        <item x="159"/>
        <item x="10"/>
        <item x="71"/>
        <item x="57"/>
        <item x="164"/>
        <item x="67"/>
        <item x="65"/>
        <item x="74"/>
        <item x="64"/>
        <item x="1"/>
        <item x="54"/>
        <item x="108"/>
        <item x="5"/>
        <item x="149"/>
        <item x="133"/>
        <item x="127"/>
        <item x="85"/>
        <item x="91"/>
        <item x="60"/>
        <item x="93"/>
        <item x="99"/>
        <item x="16"/>
        <item x="130"/>
        <item x="3"/>
        <item x="122"/>
        <item x="166"/>
        <item x="156"/>
        <item x="61"/>
        <item x="70"/>
        <item x="53"/>
        <item x="15"/>
        <item x="162"/>
        <item x="52"/>
        <item x="36"/>
        <item x="142"/>
        <item x="42"/>
        <item x="79"/>
        <item x="97"/>
        <item x="34"/>
        <item x="46"/>
        <item x="118"/>
        <item x="90"/>
        <item x="103"/>
        <item x="38"/>
        <item x="82"/>
        <item x="17"/>
        <item x="145"/>
        <item x="148"/>
        <item x="13"/>
        <item x="88"/>
        <item x="105"/>
        <item x="89"/>
        <item x="78"/>
        <item x="0"/>
        <item x="62"/>
        <item x="87"/>
        <item x="25"/>
        <item x="75"/>
        <item x="111"/>
        <item x="58"/>
        <item x="35"/>
        <item x="14"/>
        <item x="11"/>
        <item x="134"/>
        <item x="48"/>
        <item x="135"/>
        <item x="84"/>
        <item x="139"/>
        <item x="21"/>
        <item t="default"/>
      </items>
    </pivotField>
    <pivotField dataField="1" showAll="0"/>
    <pivotField showAll="0"/>
    <pivotField dataField="1" showAll="0"/>
    <pivotField showAll="0"/>
  </pivotFields>
  <rowItems count="1">
    <i/>
  </rowItems>
  <colFields count="1">
    <field x="-2"/>
  </colFields>
  <colItems count="4">
    <i>
      <x/>
    </i>
    <i i="1">
      <x v="1"/>
    </i>
    <i i="2">
      <x v="2"/>
    </i>
    <i i="3">
      <x v="3"/>
    </i>
  </colItems>
  <dataFields count="4">
    <dataField name="Count of Customer Name" fld="1" subtotal="count" baseField="0" baseItem="1184172307"/>
    <dataField name="Count of Wig Purchased" fld="2" subtotal="count" baseField="0" baseItem="0"/>
    <dataField name="Sum of Revenue(₦)" fld="7" baseField="0" baseItem="0"/>
    <dataField name="Sum of Profit (₦)"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ig_Purchased" xr10:uid="{E206DEB3-73AB-4087-BC74-69165F758EC5}" sourceName="Wig Purchased">
  <pivotTables>
    <pivotTable tabId="11" name="PivotTable2"/>
  </pivotTables>
  <data>
    <tabular pivotCacheId="2093014935">
      <items count="20">
        <i x="10" s="1"/>
        <i x="11" s="1"/>
        <i x="6" s="1"/>
        <i x="19" s="1"/>
        <i x="3" s="1"/>
        <i x="9" s="1"/>
        <i x="16" s="1"/>
        <i x="13" s="1"/>
        <i x="14" s="1"/>
        <i x="2" s="1"/>
        <i x="4" s="1"/>
        <i x="15" s="1"/>
        <i x="1" s="1"/>
        <i x="5" s="1"/>
        <i x="0" s="1"/>
        <i x="18" s="1"/>
        <i x="8" s="1"/>
        <i x="17" s="1"/>
        <i x="7" s="1"/>
        <i x="1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chase_Date" xr10:uid="{5AA725B2-6334-4B06-B9C0-3561793318D7}" sourceName="Purchase Date">
  <pivotTables>
    <pivotTable tabId="11" name="PivotTable2"/>
  </pivotTables>
  <data>
    <tabular pivotCacheId="2093014935">
      <items count="169">
        <i x="51" s="1"/>
        <i x="106" s="1"/>
        <i x="124" s="1"/>
        <i x="73" s="1"/>
        <i x="19" s="1"/>
        <i x="154" s="1"/>
        <i x="59" s="1"/>
        <i x="163" s="1"/>
        <i x="158" s="1"/>
        <i x="155" s="1"/>
        <i x="161" s="1"/>
        <i x="27" s="1"/>
        <i x="167" s="1"/>
        <i x="116" s="1"/>
        <i x="2" s="1"/>
        <i x="24" s="1"/>
        <i x="45" s="1"/>
        <i x="23" s="1"/>
        <i x="92" s="1"/>
        <i x="50" s="1"/>
        <i x="123" s="1"/>
        <i x="131" s="1"/>
        <i x="77" s="1"/>
        <i x="49" s="1"/>
        <i x="31" s="1"/>
        <i x="152" s="1"/>
        <i x="33" s="1"/>
        <i x="68" s="1"/>
        <i x="18" s="1"/>
        <i x="101" s="1"/>
        <i x="7" s="1"/>
        <i x="121" s="1"/>
        <i x="128" s="1"/>
        <i x="146" s="1"/>
        <i x="115" s="1"/>
        <i x="40" s="1"/>
        <i x="110" s="1"/>
        <i x="138" s="1"/>
        <i x="157" s="1"/>
        <i x="120" s="1"/>
        <i x="4" s="1"/>
        <i x="9" s="1"/>
        <i x="47" s="1"/>
        <i x="29" s="1"/>
        <i x="98" s="1"/>
        <i x="137" s="1"/>
        <i x="112" s="1"/>
        <i x="22" s="1"/>
        <i x="113" s="1"/>
        <i x="125" s="1"/>
        <i x="143" s="1"/>
        <i x="6" s="1"/>
        <i x="80" s="1"/>
        <i x="76" s="1"/>
        <i x="153" s="1"/>
        <i x="37" s="1"/>
        <i x="100" s="1"/>
        <i x="150" s="1"/>
        <i x="55" s="1"/>
        <i x="136" s="1"/>
        <i x="83" s="1"/>
        <i x="160" s="1"/>
        <i x="114" s="1"/>
        <i x="129" s="1"/>
        <i x="94" s="1"/>
        <i x="44" s="1"/>
        <i x="132" s="1"/>
        <i x="95" s="1"/>
        <i x="102" s="1"/>
        <i x="63" s="1"/>
        <i x="8" s="1"/>
        <i x="26" s="1"/>
        <i x="56" s="1"/>
        <i x="81" s="1"/>
        <i x="96" s="1"/>
        <i x="126" s="1"/>
        <i x="141" s="1"/>
        <i x="117" s="1"/>
        <i x="151" s="1"/>
        <i x="168" s="1"/>
        <i x="69" s="1"/>
        <i x="104" s="1"/>
        <i x="140" s="1"/>
        <i x="28" s="1"/>
        <i x="107" s="1"/>
        <i x="30" s="1"/>
        <i x="165" s="1"/>
        <i x="20" s="1"/>
        <i x="86" s="1"/>
        <i x="41" s="1"/>
        <i x="66" s="1"/>
        <i x="72" s="1"/>
        <i x="109" s="1"/>
        <i x="12" s="1"/>
        <i x="144" s="1"/>
        <i x="39" s="1"/>
        <i x="32" s="1"/>
        <i x="147" s="1"/>
        <i x="43" s="1"/>
        <i x="119" s="1"/>
        <i x="159" s="1"/>
        <i x="10" s="1"/>
        <i x="71" s="1"/>
        <i x="57" s="1"/>
        <i x="164" s="1"/>
        <i x="67" s="1"/>
        <i x="65" s="1"/>
        <i x="74" s="1"/>
        <i x="64" s="1"/>
        <i x="1" s="1"/>
        <i x="54" s="1"/>
        <i x="108" s="1"/>
        <i x="5" s="1"/>
        <i x="149" s="1"/>
        <i x="133" s="1"/>
        <i x="127" s="1"/>
        <i x="85" s="1"/>
        <i x="91" s="1"/>
        <i x="60" s="1"/>
        <i x="93" s="1"/>
        <i x="99" s="1"/>
        <i x="16" s="1"/>
        <i x="130" s="1"/>
        <i x="3" s="1"/>
        <i x="122" s="1"/>
        <i x="166" s="1"/>
        <i x="156" s="1"/>
        <i x="61" s="1"/>
        <i x="70" s="1"/>
        <i x="53" s="1"/>
        <i x="15" s="1"/>
        <i x="162" s="1"/>
        <i x="52" s="1"/>
        <i x="36" s="1"/>
        <i x="142" s="1"/>
        <i x="42" s="1"/>
        <i x="79" s="1"/>
        <i x="97" s="1"/>
        <i x="34" s="1"/>
        <i x="46" s="1"/>
        <i x="118" s="1"/>
        <i x="90" s="1"/>
        <i x="103" s="1"/>
        <i x="38" s="1"/>
        <i x="82" s="1"/>
        <i x="17" s="1"/>
        <i x="145" s="1"/>
        <i x="148" s="1"/>
        <i x="13" s="1"/>
        <i x="88" s="1"/>
        <i x="105" s="1"/>
        <i x="89" s="1"/>
        <i x="78" s="1"/>
        <i x="0" s="1"/>
        <i x="62" s="1"/>
        <i x="87" s="1"/>
        <i x="25" s="1"/>
        <i x="75" s="1"/>
        <i x="111" s="1"/>
        <i x="58" s="1"/>
        <i x="35" s="1"/>
        <i x="14" s="1"/>
        <i x="11" s="1"/>
        <i x="134" s="1"/>
        <i x="48" s="1"/>
        <i x="135" s="1"/>
        <i x="84" s="1"/>
        <i x="139" s="1"/>
        <i x="2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ig Purchased 1" xr10:uid="{C824F451-C9E4-4429-98E4-F06F97D8315C}" cache="Slicer_Wig_Purchased" caption="Wig Purchased" startItem="7" style="SlicerStyleOther2" rowHeight="234950"/>
  <slicer name="Purchase Date 1" xr10:uid="{A308D37B-200D-4B94-9913-F307A39FF825}" cache="Slicer_Purchase_Date" caption="Purchase Date" startItem="162" style="SlicerStyleOther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ig Purchased" xr10:uid="{96CDA0C9-E4C0-4667-A92A-EAA40A0569E0}" cache="Slicer_Wig_Purchased" caption="Wig Purchased" rowHeight="234950"/>
  <slicer name="Purchase Date" xr10:uid="{EBE29B9A-D9AA-4AB1-BB06-2447C46D3A81}" cache="Slicer_Purchase_Date" caption="Purchase Date" startItem="16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6.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4FC4D-7CC4-4318-A524-0EABD3210643}">
  <dimension ref="A3:K18"/>
  <sheetViews>
    <sheetView showGridLines="0" topLeftCell="A2" workbookViewId="0">
      <selection activeCell="H7" sqref="H7"/>
    </sheetView>
  </sheetViews>
  <sheetFormatPr defaultRowHeight="14.4" x14ac:dyDescent="0.3"/>
  <cols>
    <col min="1" max="1" width="16.77734375" bestFit="1" customWidth="1"/>
    <col min="2" max="2" width="14.88671875" bestFit="1" customWidth="1"/>
    <col min="3" max="3" width="18.5546875" bestFit="1" customWidth="1"/>
    <col min="4" max="4" width="15.88671875" bestFit="1" customWidth="1"/>
    <col min="5" max="5" width="17.6640625" bestFit="1" customWidth="1"/>
    <col min="6" max="6" width="18.5546875" bestFit="1" customWidth="1"/>
    <col min="7" max="7" width="15.88671875" bestFit="1" customWidth="1"/>
    <col min="8" max="8" width="15.33203125" bestFit="1" customWidth="1"/>
    <col min="9" max="9" width="18.5546875" bestFit="1" customWidth="1"/>
    <col min="10" max="10" width="12.5546875" bestFit="1" customWidth="1"/>
    <col min="11" max="11" width="17.6640625" bestFit="1" customWidth="1"/>
    <col min="12" max="212" width="18.5546875" bestFit="1" customWidth="1"/>
    <col min="213" max="213" width="10.77734375" bestFit="1" customWidth="1"/>
  </cols>
  <sheetData>
    <row r="3" spans="1:11" x14ac:dyDescent="0.3">
      <c r="A3" t="s">
        <v>493</v>
      </c>
      <c r="D3" s="9" t="s">
        <v>494</v>
      </c>
      <c r="E3" t="s">
        <v>496</v>
      </c>
      <c r="G3" s="9" t="s">
        <v>494</v>
      </c>
      <c r="H3" t="s">
        <v>497</v>
      </c>
      <c r="J3" s="9" t="s">
        <v>494</v>
      </c>
      <c r="K3" t="s">
        <v>496</v>
      </c>
    </row>
    <row r="4" spans="1:11" x14ac:dyDescent="0.3">
      <c r="A4" s="10">
        <v>210</v>
      </c>
      <c r="D4" s="11" t="s">
        <v>138</v>
      </c>
      <c r="E4" s="10">
        <v>1507000</v>
      </c>
      <c r="G4" s="11" t="s">
        <v>138</v>
      </c>
      <c r="H4" s="10">
        <v>562000</v>
      </c>
      <c r="J4" s="11" t="s">
        <v>498</v>
      </c>
      <c r="K4" s="10">
        <v>6765000</v>
      </c>
    </row>
    <row r="5" spans="1:11" x14ac:dyDescent="0.3">
      <c r="D5" s="11" t="s">
        <v>89</v>
      </c>
      <c r="E5" s="10">
        <v>1692000</v>
      </c>
      <c r="G5" s="11" t="s">
        <v>52</v>
      </c>
      <c r="H5" s="10">
        <v>605000</v>
      </c>
      <c r="J5" s="11" t="s">
        <v>499</v>
      </c>
      <c r="K5" s="10">
        <v>11202000</v>
      </c>
    </row>
    <row r="6" spans="1:11" x14ac:dyDescent="0.3">
      <c r="D6" s="11" t="s">
        <v>52</v>
      </c>
      <c r="E6" s="10">
        <v>1733000</v>
      </c>
      <c r="G6" s="11" t="s">
        <v>89</v>
      </c>
      <c r="H6" s="10">
        <v>609000</v>
      </c>
      <c r="J6" s="11" t="s">
        <v>500</v>
      </c>
      <c r="K6" s="10">
        <v>7130000</v>
      </c>
    </row>
    <row r="7" spans="1:11" x14ac:dyDescent="0.3">
      <c r="D7" s="11" t="s">
        <v>16</v>
      </c>
      <c r="E7" s="10">
        <v>2941000</v>
      </c>
      <c r="G7" s="11" t="s">
        <v>16</v>
      </c>
      <c r="H7" s="10">
        <v>1073000</v>
      </c>
      <c r="J7" s="11" t="s">
        <v>501</v>
      </c>
      <c r="K7" s="10">
        <v>5030000</v>
      </c>
    </row>
    <row r="8" spans="1:11" x14ac:dyDescent="0.3">
      <c r="D8" s="11" t="s">
        <v>308</v>
      </c>
      <c r="E8" s="10">
        <v>3076000</v>
      </c>
      <c r="G8" s="11" t="s">
        <v>308</v>
      </c>
      <c r="H8" s="10">
        <v>1076000</v>
      </c>
      <c r="J8" s="11" t="s">
        <v>492</v>
      </c>
      <c r="K8" s="10">
        <v>30127000</v>
      </c>
    </row>
    <row r="9" spans="1:11" x14ac:dyDescent="0.3">
      <c r="D9" s="11" t="s">
        <v>8</v>
      </c>
      <c r="E9" s="10">
        <v>5040000</v>
      </c>
      <c r="G9" s="11" t="s">
        <v>80</v>
      </c>
      <c r="H9" s="10">
        <v>1766000</v>
      </c>
    </row>
    <row r="10" spans="1:11" x14ac:dyDescent="0.3">
      <c r="A10" s="9" t="s">
        <v>494</v>
      </c>
      <c r="B10" t="s">
        <v>495</v>
      </c>
      <c r="D10" s="11" t="s">
        <v>80</v>
      </c>
      <c r="E10" s="10">
        <v>5132000</v>
      </c>
      <c r="G10" s="11" t="s">
        <v>8</v>
      </c>
      <c r="H10" s="10">
        <v>1960000</v>
      </c>
    </row>
    <row r="11" spans="1:11" x14ac:dyDescent="0.3">
      <c r="A11" s="11" t="s">
        <v>89</v>
      </c>
      <c r="B11" s="10">
        <v>17</v>
      </c>
      <c r="D11" s="11" t="s">
        <v>492</v>
      </c>
      <c r="E11" s="10">
        <v>21121000</v>
      </c>
      <c r="G11" s="11" t="s">
        <v>492</v>
      </c>
      <c r="H11" s="10">
        <v>7651000</v>
      </c>
    </row>
    <row r="12" spans="1:11" x14ac:dyDescent="0.3">
      <c r="A12" s="11" t="s">
        <v>58</v>
      </c>
      <c r="B12" s="10">
        <v>17</v>
      </c>
    </row>
    <row r="13" spans="1:11" x14ac:dyDescent="0.3">
      <c r="A13" s="11" t="s">
        <v>14</v>
      </c>
      <c r="B13" s="10">
        <v>22</v>
      </c>
    </row>
    <row r="14" spans="1:11" x14ac:dyDescent="0.3">
      <c r="A14" s="11" t="s">
        <v>52</v>
      </c>
      <c r="B14" s="10">
        <v>25</v>
      </c>
    </row>
    <row r="15" spans="1:11" x14ac:dyDescent="0.3">
      <c r="A15" s="11" t="s">
        <v>29</v>
      </c>
      <c r="B15" s="10">
        <v>25</v>
      </c>
    </row>
    <row r="16" spans="1:11" x14ac:dyDescent="0.3">
      <c r="A16" s="11" t="s">
        <v>8</v>
      </c>
      <c r="B16" s="10">
        <v>28</v>
      </c>
    </row>
    <row r="17" spans="1:2" x14ac:dyDescent="0.3">
      <c r="A17" s="11" t="s">
        <v>80</v>
      </c>
      <c r="B17" s="10">
        <v>38</v>
      </c>
    </row>
    <row r="18" spans="1:2" x14ac:dyDescent="0.3">
      <c r="A18" s="11" t="s">
        <v>492</v>
      </c>
      <c r="B18" s="10">
        <v>172</v>
      </c>
    </row>
  </sheetData>
  <pageMargins left="0.7" right="0.7" top="0.75" bottom="0.75" header="0.3" footer="0.3"/>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FF61A-FC12-4D95-8BBA-D7B267836E98}">
  <dimension ref="A1"/>
  <sheetViews>
    <sheetView showGridLines="0" topLeftCell="A2" zoomScale="80" zoomScaleNormal="80" workbookViewId="0">
      <selection activeCell="Q22" sqref="Q22"/>
    </sheetView>
  </sheetViews>
  <sheetFormatPr defaultRowHeight="14.4" x14ac:dyDescent="0.3"/>
  <cols>
    <col min="1" max="1" width="6.5546875" style="15" customWidth="1"/>
    <col min="2" max="20" width="8.88671875" style="15"/>
    <col min="21" max="21" width="7.33203125" style="15" customWidth="1"/>
    <col min="22" max="16384" width="8.88671875" style="15"/>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3DE48-FDEF-48D2-9CB3-0ADD60C6DE8B}">
  <dimension ref="A3:D8"/>
  <sheetViews>
    <sheetView workbookViewId="0">
      <selection activeCell="I22" sqref="I22"/>
    </sheetView>
  </sheetViews>
  <sheetFormatPr defaultRowHeight="14.4" x14ac:dyDescent="0.3"/>
  <cols>
    <col min="1" max="1" width="22.6640625" bestFit="1" customWidth="1"/>
    <col min="2" max="2" width="21.5546875" bestFit="1" customWidth="1"/>
    <col min="3" max="3" width="17.6640625" bestFit="1" customWidth="1"/>
    <col min="4" max="4" width="15.33203125" bestFit="1" customWidth="1"/>
  </cols>
  <sheetData>
    <row r="3" spans="1:4" x14ac:dyDescent="0.3">
      <c r="A3" t="s">
        <v>493</v>
      </c>
      <c r="B3" t="s">
        <v>502</v>
      </c>
      <c r="C3" t="s">
        <v>496</v>
      </c>
      <c r="D3" t="s">
        <v>497</v>
      </c>
    </row>
    <row r="4" spans="1:4" x14ac:dyDescent="0.3">
      <c r="A4" s="10">
        <v>210</v>
      </c>
      <c r="B4" s="10">
        <v>210</v>
      </c>
      <c r="C4" s="10">
        <v>30127000</v>
      </c>
      <c r="D4" s="10">
        <v>10745000</v>
      </c>
    </row>
    <row r="7" spans="1:4" x14ac:dyDescent="0.3">
      <c r="A7" t="s">
        <v>503</v>
      </c>
      <c r="B7" t="s">
        <v>504</v>
      </c>
      <c r="C7" t="s">
        <v>505</v>
      </c>
      <c r="D7" t="s">
        <v>506</v>
      </c>
    </row>
    <row r="8" spans="1:4" x14ac:dyDescent="0.3">
      <c r="A8">
        <f>GETPIVOTDATA("Count of Customer Name",$A$3)</f>
        <v>210</v>
      </c>
      <c r="B8">
        <f>GETPIVOTDATA("Count of Wig Purchased",$A$3)</f>
        <v>210</v>
      </c>
      <c r="C8" s="14">
        <f>GETPIVOTDATA("Sum of Revenue(₦)",$A$3)</f>
        <v>30127000</v>
      </c>
      <c r="D8" s="14">
        <f>GETPIVOTDATA("Sum of Profit (₦)",$A$3)</f>
        <v>10745000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K215"/>
  <sheetViews>
    <sheetView showGridLines="0" tabSelected="1" topLeftCell="C1" zoomScale="120" zoomScaleNormal="120" workbookViewId="0">
      <pane ySplit="1" topLeftCell="A187" activePane="bottomLeft" state="frozen"/>
      <selection pane="bottomLeft" activeCell="D210" sqref="D210"/>
    </sheetView>
  </sheetViews>
  <sheetFormatPr defaultRowHeight="14.4" x14ac:dyDescent="0.3"/>
  <cols>
    <col min="1" max="1" width="10.44140625" customWidth="1"/>
    <col min="2" max="2" width="23.109375" customWidth="1"/>
    <col min="3" max="3" width="21.44140625" customWidth="1"/>
    <col min="4" max="4" width="15.109375" customWidth="1"/>
    <col min="5" max="5" width="15.88671875" style="5" customWidth="1"/>
    <col min="6" max="6" width="16.44140625" style="5" customWidth="1"/>
    <col min="7" max="7" width="18.109375" style="4" bestFit="1" customWidth="1"/>
    <col min="8" max="8" width="16.109375" customWidth="1"/>
    <col min="9" max="9" width="18" customWidth="1"/>
    <col min="10" max="10" width="16.109375" customWidth="1"/>
    <col min="11" max="11" width="13.109375" customWidth="1"/>
  </cols>
  <sheetData>
    <row r="1" spans="1:11" s="13" customFormat="1" x14ac:dyDescent="0.3">
      <c r="A1" s="7" t="s">
        <v>0</v>
      </c>
      <c r="B1" s="7" t="s">
        <v>1</v>
      </c>
      <c r="C1" s="7" t="s">
        <v>2</v>
      </c>
      <c r="D1" s="7" t="s">
        <v>3</v>
      </c>
      <c r="E1" s="6" t="s">
        <v>4</v>
      </c>
      <c r="F1" s="6" t="s">
        <v>5</v>
      </c>
      <c r="G1" s="12" t="s">
        <v>6</v>
      </c>
      <c r="H1" s="13" t="s">
        <v>487</v>
      </c>
      <c r="I1" s="13" t="s">
        <v>488</v>
      </c>
      <c r="J1" s="13" t="s">
        <v>489</v>
      </c>
      <c r="K1" s="13" t="s">
        <v>490</v>
      </c>
    </row>
    <row r="2" spans="1:11" x14ac:dyDescent="0.3">
      <c r="A2">
        <v>1</v>
      </c>
      <c r="B2" t="s">
        <v>7</v>
      </c>
      <c r="C2" t="s">
        <v>8</v>
      </c>
      <c r="D2">
        <v>1</v>
      </c>
      <c r="E2" s="5" t="s">
        <v>315</v>
      </c>
      <c r="F2" s="5" t="s">
        <v>437</v>
      </c>
      <c r="G2" s="4">
        <v>46211</v>
      </c>
      <c r="H2" s="5">
        <f>D2*E2</f>
        <v>206000</v>
      </c>
      <c r="I2" s="5">
        <f>D2*F2</f>
        <v>118000</v>
      </c>
      <c r="J2" s="5">
        <f>H2-I2</f>
        <v>88000</v>
      </c>
      <c r="K2" s="8">
        <f>J2/H2</f>
        <v>0.42718446601941745</v>
      </c>
    </row>
    <row r="3" spans="1:11" x14ac:dyDescent="0.3">
      <c r="A3">
        <v>2</v>
      </c>
      <c r="B3" t="s">
        <v>9</v>
      </c>
      <c r="C3" t="s">
        <v>308</v>
      </c>
      <c r="D3">
        <v>2</v>
      </c>
      <c r="E3" s="5" t="s">
        <v>316</v>
      </c>
      <c r="F3" s="5" t="s">
        <v>400</v>
      </c>
      <c r="G3" s="4">
        <v>46028</v>
      </c>
      <c r="H3" s="5">
        <f t="shared" ref="H3:H6" si="0">D3*E3</f>
        <v>308000</v>
      </c>
      <c r="I3" s="5">
        <f t="shared" ref="I3:I6" si="1">D3*F3</f>
        <v>232000</v>
      </c>
      <c r="J3" s="5">
        <f t="shared" ref="J3:J6" si="2">H3-I3</f>
        <v>76000</v>
      </c>
      <c r="K3" s="8">
        <f t="shared" ref="K3:K6" si="3">J3/H3</f>
        <v>0.24675324675324675</v>
      </c>
    </row>
    <row r="4" spans="1:11" x14ac:dyDescent="0.3">
      <c r="A4">
        <v>3</v>
      </c>
      <c r="B4" t="s">
        <v>11</v>
      </c>
      <c r="C4" t="s">
        <v>80</v>
      </c>
      <c r="D4">
        <v>1</v>
      </c>
      <c r="E4" s="5" t="s">
        <v>317</v>
      </c>
      <c r="F4" s="5" t="s">
        <v>377</v>
      </c>
      <c r="G4" s="4">
        <v>45713</v>
      </c>
      <c r="H4" s="5">
        <f t="shared" si="0"/>
        <v>111000</v>
      </c>
      <c r="I4" s="5">
        <f t="shared" si="1"/>
        <v>68000</v>
      </c>
      <c r="J4" s="5">
        <f t="shared" si="2"/>
        <v>43000</v>
      </c>
      <c r="K4" s="8">
        <f t="shared" si="3"/>
        <v>0.38738738738738737</v>
      </c>
    </row>
    <row r="5" spans="1:11" x14ac:dyDescent="0.3">
      <c r="A5">
        <v>4</v>
      </c>
      <c r="B5" t="s">
        <v>13</v>
      </c>
      <c r="C5" t="s">
        <v>14</v>
      </c>
      <c r="D5">
        <v>1</v>
      </c>
      <c r="E5" s="5" t="s">
        <v>318</v>
      </c>
      <c r="F5" s="5" t="s">
        <v>410</v>
      </c>
      <c r="G5" s="4">
        <v>46089</v>
      </c>
      <c r="H5" s="5">
        <f t="shared" si="0"/>
        <v>64000</v>
      </c>
      <c r="I5" s="5">
        <f t="shared" si="1"/>
        <v>36000</v>
      </c>
      <c r="J5" s="5">
        <f t="shared" si="2"/>
        <v>28000</v>
      </c>
      <c r="K5" s="8">
        <f t="shared" si="3"/>
        <v>0.4375</v>
      </c>
    </row>
    <row r="6" spans="1:11" x14ac:dyDescent="0.3">
      <c r="A6">
        <v>5</v>
      </c>
      <c r="B6" t="s">
        <v>286</v>
      </c>
      <c r="C6" t="s">
        <v>16</v>
      </c>
      <c r="D6">
        <v>1</v>
      </c>
      <c r="E6" s="5" t="s">
        <v>17</v>
      </c>
      <c r="F6" s="5" t="s">
        <v>438</v>
      </c>
      <c r="G6" s="4">
        <v>45780</v>
      </c>
      <c r="H6" s="5">
        <f t="shared" si="0"/>
        <v>238000</v>
      </c>
      <c r="I6" s="5">
        <f t="shared" si="1"/>
        <v>141000</v>
      </c>
      <c r="J6" s="5">
        <f t="shared" si="2"/>
        <v>97000</v>
      </c>
      <c r="K6" s="8">
        <f t="shared" si="3"/>
        <v>0.40756302521008403</v>
      </c>
    </row>
    <row r="7" spans="1:11" hidden="1" x14ac:dyDescent="0.3">
      <c r="A7">
        <v>6</v>
      </c>
      <c r="B7" t="s">
        <v>18</v>
      </c>
      <c r="C7" t="s">
        <v>19</v>
      </c>
      <c r="E7" s="5" t="s">
        <v>319</v>
      </c>
      <c r="F7" s="5" t="s">
        <v>431</v>
      </c>
      <c r="G7" s="4">
        <v>46035</v>
      </c>
    </row>
    <row r="8" spans="1:11" x14ac:dyDescent="0.3">
      <c r="A8">
        <v>7</v>
      </c>
      <c r="B8" t="s">
        <v>20</v>
      </c>
      <c r="C8" t="s">
        <v>21</v>
      </c>
      <c r="D8">
        <v>3</v>
      </c>
      <c r="E8" s="5" t="s">
        <v>320</v>
      </c>
      <c r="F8" s="5" t="s">
        <v>439</v>
      </c>
      <c r="G8" s="4">
        <v>45821</v>
      </c>
      <c r="H8" s="5">
        <f t="shared" ref="H8:H16" si="4">D8*E8</f>
        <v>114000</v>
      </c>
      <c r="I8" s="5">
        <f t="shared" ref="I8:I16" si="5">D8*F8</f>
        <v>81000</v>
      </c>
      <c r="J8" s="5">
        <f t="shared" ref="J8:J16" si="6">H8-I8</f>
        <v>33000</v>
      </c>
      <c r="K8" s="8">
        <f t="shared" ref="K8:K16" si="7">J8/H8</f>
        <v>0.28947368421052633</v>
      </c>
    </row>
    <row r="9" spans="1:11" x14ac:dyDescent="0.3">
      <c r="A9">
        <v>8</v>
      </c>
      <c r="B9" t="s">
        <v>22</v>
      </c>
      <c r="C9" t="s">
        <v>80</v>
      </c>
      <c r="D9">
        <v>2</v>
      </c>
      <c r="E9" s="5" t="s">
        <v>321</v>
      </c>
      <c r="F9" s="5" t="s">
        <v>440</v>
      </c>
      <c r="G9" s="4">
        <v>45760</v>
      </c>
      <c r="H9" s="5">
        <f t="shared" si="4"/>
        <v>422000</v>
      </c>
      <c r="I9" s="5">
        <f t="shared" si="5"/>
        <v>322000</v>
      </c>
      <c r="J9" s="5">
        <f t="shared" si="6"/>
        <v>100000</v>
      </c>
      <c r="K9" s="8">
        <f t="shared" si="7"/>
        <v>0.23696682464454977</v>
      </c>
    </row>
    <row r="10" spans="1:11" x14ac:dyDescent="0.3">
      <c r="A10">
        <v>9</v>
      </c>
      <c r="B10" t="s">
        <v>23</v>
      </c>
      <c r="C10" t="s">
        <v>308</v>
      </c>
      <c r="D10">
        <v>1</v>
      </c>
      <c r="E10" s="5" t="s">
        <v>322</v>
      </c>
      <c r="F10" s="5" t="s">
        <v>441</v>
      </c>
      <c r="G10" s="4">
        <v>45886</v>
      </c>
      <c r="H10" s="5">
        <f t="shared" si="4"/>
        <v>172000</v>
      </c>
      <c r="I10" s="5">
        <f t="shared" si="5"/>
        <v>127000</v>
      </c>
      <c r="J10" s="5">
        <f t="shared" si="6"/>
        <v>45000</v>
      </c>
      <c r="K10" s="8">
        <f t="shared" si="7"/>
        <v>0.26162790697674421</v>
      </c>
    </row>
    <row r="11" spans="1:11" x14ac:dyDescent="0.3">
      <c r="A11">
        <v>10</v>
      </c>
      <c r="B11" t="s">
        <v>25</v>
      </c>
      <c r="C11" t="s">
        <v>26</v>
      </c>
      <c r="D11">
        <v>2</v>
      </c>
      <c r="E11" s="5" t="s">
        <v>323</v>
      </c>
      <c r="F11" s="5" t="s">
        <v>442</v>
      </c>
      <c r="G11" s="4">
        <v>45784</v>
      </c>
      <c r="H11" s="5">
        <f t="shared" si="4"/>
        <v>8000</v>
      </c>
      <c r="I11" s="5">
        <f t="shared" si="5"/>
        <v>4000</v>
      </c>
      <c r="J11" s="5">
        <f t="shared" si="6"/>
        <v>4000</v>
      </c>
      <c r="K11" s="8">
        <f t="shared" si="7"/>
        <v>0.5</v>
      </c>
    </row>
    <row r="12" spans="1:11" x14ac:dyDescent="0.3">
      <c r="A12">
        <v>11</v>
      </c>
      <c r="B12" t="s">
        <v>287</v>
      </c>
      <c r="C12" t="s">
        <v>308</v>
      </c>
      <c r="D12">
        <v>2</v>
      </c>
      <c r="E12" s="5" t="s">
        <v>324</v>
      </c>
      <c r="F12" s="5" t="s">
        <v>443</v>
      </c>
      <c r="G12" s="4">
        <v>45991</v>
      </c>
      <c r="H12" s="5">
        <f t="shared" si="4"/>
        <v>396000</v>
      </c>
      <c r="I12" s="5">
        <f t="shared" si="5"/>
        <v>274000</v>
      </c>
      <c r="J12" s="5">
        <f t="shared" si="6"/>
        <v>122000</v>
      </c>
      <c r="K12" s="8">
        <f t="shared" si="7"/>
        <v>0.30808080808080807</v>
      </c>
    </row>
    <row r="13" spans="1:11" x14ac:dyDescent="0.3">
      <c r="A13">
        <v>12</v>
      </c>
      <c r="B13" t="s">
        <v>28</v>
      </c>
      <c r="C13" t="s">
        <v>29</v>
      </c>
      <c r="D13">
        <v>1</v>
      </c>
      <c r="E13" s="5" t="s">
        <v>325</v>
      </c>
      <c r="F13" s="5" t="s">
        <v>390</v>
      </c>
      <c r="G13" s="4">
        <v>46232</v>
      </c>
      <c r="H13" s="5">
        <f t="shared" si="4"/>
        <v>71000</v>
      </c>
      <c r="I13" s="5">
        <f t="shared" si="5"/>
        <v>51000</v>
      </c>
      <c r="J13" s="5">
        <f t="shared" si="6"/>
        <v>20000</v>
      </c>
      <c r="K13" s="8">
        <f t="shared" si="7"/>
        <v>0.28169014084507044</v>
      </c>
    </row>
    <row r="14" spans="1:11" x14ac:dyDescent="0.3">
      <c r="A14">
        <v>13</v>
      </c>
      <c r="B14" t="s">
        <v>31</v>
      </c>
      <c r="C14" t="s">
        <v>8</v>
      </c>
      <c r="D14">
        <v>2</v>
      </c>
      <c r="E14" s="5" t="s">
        <v>326</v>
      </c>
      <c r="F14" s="5" t="s">
        <v>389</v>
      </c>
      <c r="G14" s="4">
        <v>45969</v>
      </c>
      <c r="H14" s="5">
        <f t="shared" si="4"/>
        <v>580000</v>
      </c>
      <c r="I14" s="5">
        <f t="shared" si="5"/>
        <v>314000</v>
      </c>
      <c r="J14" s="5">
        <f t="shared" si="6"/>
        <v>266000</v>
      </c>
      <c r="K14" s="8">
        <f t="shared" si="7"/>
        <v>0.45862068965517239</v>
      </c>
    </row>
    <row r="15" spans="1:11" x14ac:dyDescent="0.3">
      <c r="A15">
        <v>14</v>
      </c>
      <c r="B15" t="s">
        <v>33</v>
      </c>
      <c r="C15" t="s">
        <v>14</v>
      </c>
      <c r="D15">
        <v>1</v>
      </c>
      <c r="E15" s="5" t="s">
        <v>327</v>
      </c>
      <c r="F15" s="5" t="s">
        <v>377</v>
      </c>
      <c r="G15" s="4">
        <v>46188</v>
      </c>
      <c r="H15" s="5">
        <f t="shared" si="4"/>
        <v>95000</v>
      </c>
      <c r="I15" s="5">
        <f t="shared" si="5"/>
        <v>68000</v>
      </c>
      <c r="J15" s="5">
        <f t="shared" si="6"/>
        <v>27000</v>
      </c>
      <c r="K15" s="8">
        <f t="shared" si="7"/>
        <v>0.28421052631578947</v>
      </c>
    </row>
    <row r="16" spans="1:11" x14ac:dyDescent="0.3">
      <c r="A16">
        <v>15</v>
      </c>
      <c r="B16" t="s">
        <v>34</v>
      </c>
      <c r="C16" t="s">
        <v>16</v>
      </c>
      <c r="D16">
        <v>5</v>
      </c>
      <c r="E16" s="5" t="s">
        <v>328</v>
      </c>
      <c r="F16" s="5" t="s">
        <v>444</v>
      </c>
      <c r="G16" s="4">
        <v>46228</v>
      </c>
      <c r="H16" s="5">
        <f t="shared" si="4"/>
        <v>1240000</v>
      </c>
      <c r="I16" s="5">
        <f t="shared" si="5"/>
        <v>845000</v>
      </c>
      <c r="J16" s="5">
        <f t="shared" si="6"/>
        <v>395000</v>
      </c>
      <c r="K16" s="8">
        <f t="shared" si="7"/>
        <v>0.31854838709677419</v>
      </c>
    </row>
    <row r="17" spans="1:11" hidden="1" x14ac:dyDescent="0.3">
      <c r="A17">
        <v>16</v>
      </c>
      <c r="B17" t="s">
        <v>36</v>
      </c>
      <c r="C17" t="s">
        <v>37</v>
      </c>
      <c r="E17" s="5" t="s">
        <v>329</v>
      </c>
      <c r="F17" s="5" t="s">
        <v>349</v>
      </c>
      <c r="G17" s="4">
        <v>46115</v>
      </c>
    </row>
    <row r="18" spans="1:11" x14ac:dyDescent="0.3">
      <c r="A18">
        <v>17</v>
      </c>
      <c r="B18" t="s">
        <v>38</v>
      </c>
      <c r="C18" t="s">
        <v>138</v>
      </c>
      <c r="D18">
        <v>2</v>
      </c>
      <c r="E18" s="5" t="s">
        <v>330</v>
      </c>
      <c r="F18" s="5" t="s">
        <v>319</v>
      </c>
      <c r="G18" s="4">
        <v>46079</v>
      </c>
      <c r="H18" s="5">
        <f t="shared" ref="H18:H22" si="8">D18*E18</f>
        <v>278000</v>
      </c>
      <c r="I18" s="5">
        <f t="shared" ref="I18:I22" si="9">D18*F18</f>
        <v>152000</v>
      </c>
      <c r="J18" s="5">
        <f t="shared" ref="J18:J22" si="10">H18-I18</f>
        <v>126000</v>
      </c>
      <c r="K18" s="8">
        <f t="shared" ref="K18:K22" si="11">J18/H18</f>
        <v>0.45323741007194246</v>
      </c>
    </row>
    <row r="19" spans="1:11" x14ac:dyDescent="0.3">
      <c r="A19">
        <v>18</v>
      </c>
      <c r="B19" t="s">
        <v>40</v>
      </c>
      <c r="C19" t="s">
        <v>41</v>
      </c>
      <c r="D19">
        <v>3</v>
      </c>
      <c r="E19" s="5" t="s">
        <v>331</v>
      </c>
      <c r="F19" s="5" t="s">
        <v>374</v>
      </c>
      <c r="G19" s="4">
        <v>46181</v>
      </c>
      <c r="H19" s="5">
        <f t="shared" si="8"/>
        <v>264000</v>
      </c>
      <c r="I19" s="5">
        <f t="shared" si="9"/>
        <v>195000</v>
      </c>
      <c r="J19" s="5">
        <f t="shared" si="10"/>
        <v>69000</v>
      </c>
      <c r="K19" s="8">
        <f t="shared" si="11"/>
        <v>0.26136363636363635</v>
      </c>
    </row>
    <row r="20" spans="1:11" x14ac:dyDescent="0.3">
      <c r="A20">
        <v>19</v>
      </c>
      <c r="B20" t="s">
        <v>42</v>
      </c>
      <c r="C20" t="s">
        <v>8</v>
      </c>
      <c r="D20">
        <v>3</v>
      </c>
      <c r="E20" s="5" t="s">
        <v>332</v>
      </c>
      <c r="F20" s="5" t="s">
        <v>43</v>
      </c>
      <c r="G20" s="4">
        <v>45755</v>
      </c>
      <c r="H20" s="5">
        <f t="shared" si="8"/>
        <v>504000</v>
      </c>
      <c r="I20" s="5">
        <f t="shared" si="9"/>
        <v>267000</v>
      </c>
      <c r="J20" s="5">
        <f t="shared" si="10"/>
        <v>237000</v>
      </c>
      <c r="K20" s="8">
        <f t="shared" si="11"/>
        <v>0.47023809523809523</v>
      </c>
    </row>
    <row r="21" spans="1:11" x14ac:dyDescent="0.3">
      <c r="A21">
        <v>20</v>
      </c>
      <c r="B21" t="s">
        <v>288</v>
      </c>
      <c r="C21" t="s">
        <v>58</v>
      </c>
      <c r="D21">
        <v>1</v>
      </c>
      <c r="E21" s="5" t="s">
        <v>333</v>
      </c>
      <c r="F21" s="5" t="s">
        <v>445</v>
      </c>
      <c r="G21" s="4">
        <v>45674</v>
      </c>
      <c r="H21" s="5">
        <f t="shared" si="8"/>
        <v>31000</v>
      </c>
      <c r="I21" s="5">
        <f t="shared" si="9"/>
        <v>19000</v>
      </c>
      <c r="J21" s="5">
        <f t="shared" si="10"/>
        <v>12000</v>
      </c>
      <c r="K21" s="8">
        <f t="shared" si="11"/>
        <v>0.38709677419354838</v>
      </c>
    </row>
    <row r="22" spans="1:11" x14ac:dyDescent="0.3">
      <c r="A22">
        <v>21</v>
      </c>
      <c r="B22" t="s">
        <v>46</v>
      </c>
      <c r="C22" t="s">
        <v>19</v>
      </c>
      <c r="D22">
        <v>1</v>
      </c>
      <c r="E22" s="5" t="s">
        <v>334</v>
      </c>
      <c r="F22" s="5" t="s">
        <v>446</v>
      </c>
      <c r="G22" s="4">
        <v>45945</v>
      </c>
      <c r="H22" s="5">
        <f t="shared" si="8"/>
        <v>82000</v>
      </c>
      <c r="I22" s="5">
        <f t="shared" si="9"/>
        <v>46000</v>
      </c>
      <c r="J22" s="5">
        <f t="shared" si="10"/>
        <v>36000</v>
      </c>
      <c r="K22" s="8">
        <f t="shared" si="11"/>
        <v>0.43902439024390244</v>
      </c>
    </row>
    <row r="23" spans="1:11" hidden="1" x14ac:dyDescent="0.3">
      <c r="A23">
        <v>22</v>
      </c>
      <c r="B23" t="s">
        <v>47</v>
      </c>
      <c r="C23" t="s">
        <v>37</v>
      </c>
      <c r="D23">
        <v>3</v>
      </c>
      <c r="E23" s="5" t="s">
        <v>335</v>
      </c>
      <c r="F23" s="5" t="s">
        <v>325</v>
      </c>
    </row>
    <row r="24" spans="1:11" x14ac:dyDescent="0.3">
      <c r="A24">
        <v>23</v>
      </c>
      <c r="B24" t="s">
        <v>48</v>
      </c>
      <c r="C24" t="s">
        <v>37</v>
      </c>
      <c r="D24">
        <v>1</v>
      </c>
      <c r="E24" s="5" t="s">
        <v>336</v>
      </c>
      <c r="F24" s="5" t="s">
        <v>356</v>
      </c>
      <c r="G24" s="4">
        <v>45808</v>
      </c>
      <c r="H24" s="5">
        <f t="shared" ref="H24:H25" si="12">D24*E24</f>
        <v>89000</v>
      </c>
      <c r="I24" s="5">
        <f t="shared" ref="I24:I25" si="13">D24*F24</f>
        <v>49000</v>
      </c>
      <c r="J24" s="5">
        <f t="shared" ref="J24:J25" si="14">H24-I24</f>
        <v>40000</v>
      </c>
      <c r="K24" s="8">
        <f t="shared" ref="K24:K25" si="15">J24/H24</f>
        <v>0.449438202247191</v>
      </c>
    </row>
    <row r="25" spans="1:11" x14ac:dyDescent="0.3">
      <c r="A25">
        <v>24</v>
      </c>
      <c r="B25" t="s">
        <v>49</v>
      </c>
      <c r="C25" t="s">
        <v>50</v>
      </c>
      <c r="D25">
        <v>1</v>
      </c>
      <c r="E25" s="5" t="s">
        <v>337</v>
      </c>
      <c r="F25" s="5" t="s">
        <v>327</v>
      </c>
      <c r="G25" s="4">
        <v>45716</v>
      </c>
      <c r="H25" s="5">
        <f t="shared" si="12"/>
        <v>126000</v>
      </c>
      <c r="I25" s="5">
        <f t="shared" si="13"/>
        <v>95000</v>
      </c>
      <c r="J25" s="5">
        <f t="shared" si="14"/>
        <v>31000</v>
      </c>
      <c r="K25" s="8">
        <f t="shared" si="15"/>
        <v>0.24603174603174602</v>
      </c>
    </row>
    <row r="26" spans="1:11" hidden="1" x14ac:dyDescent="0.3">
      <c r="A26">
        <v>25</v>
      </c>
      <c r="B26" t="s">
        <v>51</v>
      </c>
      <c r="C26" t="s">
        <v>52</v>
      </c>
      <c r="E26" s="5" t="s">
        <v>338</v>
      </c>
      <c r="F26" s="5" t="s">
        <v>423</v>
      </c>
      <c r="G26" s="4">
        <v>45714</v>
      </c>
    </row>
    <row r="27" spans="1:11" x14ac:dyDescent="0.3">
      <c r="A27">
        <v>26</v>
      </c>
      <c r="B27" t="s">
        <v>54</v>
      </c>
      <c r="C27" t="s">
        <v>52</v>
      </c>
      <c r="D27">
        <v>3</v>
      </c>
      <c r="E27" s="5" t="s">
        <v>339</v>
      </c>
      <c r="F27" s="5" t="s">
        <v>447</v>
      </c>
      <c r="G27" s="4">
        <v>46216</v>
      </c>
      <c r="H27" s="5">
        <f t="shared" ref="H27:H37" si="16">D27*E27</f>
        <v>297000</v>
      </c>
      <c r="I27" s="5">
        <f t="shared" ref="I27:I37" si="17">D27*F27</f>
        <v>189000</v>
      </c>
      <c r="J27" s="5">
        <f t="shared" ref="J27:J37" si="18">H27-I27</f>
        <v>108000</v>
      </c>
      <c r="K27" s="8">
        <f t="shared" ref="K27:K37" si="19">J27/H27</f>
        <v>0.36363636363636365</v>
      </c>
    </row>
    <row r="28" spans="1:11" x14ac:dyDescent="0.3">
      <c r="A28">
        <v>27</v>
      </c>
      <c r="B28" t="s">
        <v>56</v>
      </c>
      <c r="C28" t="s">
        <v>50</v>
      </c>
      <c r="D28">
        <v>1</v>
      </c>
      <c r="E28" s="5" t="s">
        <v>340</v>
      </c>
      <c r="F28" s="5" t="s">
        <v>390</v>
      </c>
      <c r="G28" s="4">
        <v>45887</v>
      </c>
      <c r="H28" s="5">
        <f t="shared" si="16"/>
        <v>73000</v>
      </c>
      <c r="I28" s="5">
        <f t="shared" si="17"/>
        <v>51000</v>
      </c>
      <c r="J28" s="5">
        <f t="shared" si="18"/>
        <v>22000</v>
      </c>
      <c r="K28" s="8">
        <f t="shared" si="19"/>
        <v>0.30136986301369861</v>
      </c>
    </row>
    <row r="29" spans="1:11" x14ac:dyDescent="0.3">
      <c r="A29">
        <v>28</v>
      </c>
      <c r="B29" t="s">
        <v>57</v>
      </c>
      <c r="C29" t="s">
        <v>58</v>
      </c>
      <c r="D29">
        <v>2</v>
      </c>
      <c r="E29" s="5" t="s">
        <v>341</v>
      </c>
      <c r="F29" s="5" t="s">
        <v>448</v>
      </c>
      <c r="G29" s="4">
        <v>45699</v>
      </c>
      <c r="H29" s="5">
        <f t="shared" si="16"/>
        <v>80000</v>
      </c>
      <c r="I29" s="5">
        <f t="shared" si="17"/>
        <v>52000</v>
      </c>
      <c r="J29" s="5">
        <f t="shared" si="18"/>
        <v>28000</v>
      </c>
      <c r="K29" s="8">
        <f t="shared" si="19"/>
        <v>0.35</v>
      </c>
    </row>
    <row r="30" spans="1:11" x14ac:dyDescent="0.3">
      <c r="A30">
        <v>29</v>
      </c>
      <c r="B30" t="s">
        <v>59</v>
      </c>
      <c r="C30" t="s">
        <v>52</v>
      </c>
      <c r="D30">
        <v>1</v>
      </c>
      <c r="E30" s="5" t="s">
        <v>342</v>
      </c>
      <c r="F30" s="5" t="s">
        <v>439</v>
      </c>
      <c r="G30" s="4">
        <v>45935</v>
      </c>
      <c r="H30" s="5">
        <f t="shared" si="16"/>
        <v>45000</v>
      </c>
      <c r="I30" s="5">
        <f t="shared" si="17"/>
        <v>27000</v>
      </c>
      <c r="J30" s="5">
        <f t="shared" si="18"/>
        <v>18000</v>
      </c>
      <c r="K30" s="8">
        <f t="shared" si="19"/>
        <v>0.4</v>
      </c>
    </row>
    <row r="31" spans="1:11" x14ac:dyDescent="0.3">
      <c r="A31">
        <v>30</v>
      </c>
      <c r="B31" t="s">
        <v>167</v>
      </c>
      <c r="C31" t="s">
        <v>143</v>
      </c>
      <c r="D31">
        <v>1</v>
      </c>
      <c r="E31" s="5" t="s">
        <v>343</v>
      </c>
      <c r="F31" s="5" t="s">
        <v>398</v>
      </c>
      <c r="G31" s="4">
        <v>45791</v>
      </c>
      <c r="H31" s="5">
        <f t="shared" si="16"/>
        <v>110000</v>
      </c>
      <c r="I31" s="5">
        <f t="shared" si="17"/>
        <v>69000</v>
      </c>
      <c r="J31" s="5">
        <f t="shared" si="18"/>
        <v>41000</v>
      </c>
      <c r="K31" s="8">
        <f t="shared" si="19"/>
        <v>0.37272727272727274</v>
      </c>
    </row>
    <row r="32" spans="1:11" x14ac:dyDescent="0.3">
      <c r="A32">
        <v>31</v>
      </c>
      <c r="B32" t="s">
        <v>289</v>
      </c>
      <c r="C32" t="s">
        <v>52</v>
      </c>
      <c r="D32">
        <v>1</v>
      </c>
      <c r="E32" s="5" t="s">
        <v>344</v>
      </c>
      <c r="F32" s="5" t="s">
        <v>341</v>
      </c>
      <c r="G32" s="4">
        <v>45940</v>
      </c>
      <c r="H32" s="5">
        <f t="shared" si="16"/>
        <v>54000</v>
      </c>
      <c r="I32" s="5">
        <f t="shared" si="17"/>
        <v>40000</v>
      </c>
      <c r="J32" s="5">
        <f t="shared" si="18"/>
        <v>14000</v>
      </c>
      <c r="K32" s="8">
        <f t="shared" si="19"/>
        <v>0.25925925925925924</v>
      </c>
    </row>
    <row r="33" spans="1:11" x14ac:dyDescent="0.3">
      <c r="A33">
        <v>32</v>
      </c>
      <c r="B33" t="s">
        <v>64</v>
      </c>
      <c r="C33" t="s">
        <v>50</v>
      </c>
      <c r="D33">
        <v>1</v>
      </c>
      <c r="E33" s="5" t="s">
        <v>345</v>
      </c>
      <c r="F33" s="5" t="s">
        <v>372</v>
      </c>
      <c r="G33" s="4">
        <v>45736</v>
      </c>
      <c r="H33" s="5">
        <f t="shared" si="16"/>
        <v>90000</v>
      </c>
      <c r="I33" s="5">
        <f t="shared" si="17"/>
        <v>67000</v>
      </c>
      <c r="J33" s="5">
        <f t="shared" si="18"/>
        <v>23000</v>
      </c>
      <c r="K33" s="8">
        <f t="shared" si="19"/>
        <v>0.25555555555555554</v>
      </c>
    </row>
    <row r="34" spans="1:11" x14ac:dyDescent="0.3">
      <c r="A34">
        <v>33</v>
      </c>
      <c r="B34" t="s">
        <v>65</v>
      </c>
      <c r="C34" t="s">
        <v>8</v>
      </c>
      <c r="D34">
        <v>1</v>
      </c>
      <c r="E34" s="5" t="s">
        <v>346</v>
      </c>
      <c r="F34" s="5" t="s">
        <v>335</v>
      </c>
      <c r="G34" s="4">
        <v>45975</v>
      </c>
      <c r="H34" s="5">
        <f t="shared" si="16"/>
        <v>124000</v>
      </c>
      <c r="I34" s="5">
        <f t="shared" si="17"/>
        <v>94000</v>
      </c>
      <c r="J34" s="5">
        <f t="shared" si="18"/>
        <v>30000</v>
      </c>
      <c r="K34" s="8">
        <f t="shared" si="19"/>
        <v>0.24193548387096775</v>
      </c>
    </row>
    <row r="35" spans="1:11" x14ac:dyDescent="0.3">
      <c r="A35">
        <v>34</v>
      </c>
      <c r="B35" t="s">
        <v>66</v>
      </c>
      <c r="C35" t="s">
        <v>14</v>
      </c>
      <c r="D35">
        <v>1</v>
      </c>
      <c r="E35" s="5" t="s">
        <v>317</v>
      </c>
      <c r="F35" s="5" t="s">
        <v>372</v>
      </c>
      <c r="G35" s="4">
        <v>45748</v>
      </c>
      <c r="H35" s="5">
        <f t="shared" si="16"/>
        <v>111000</v>
      </c>
      <c r="I35" s="5">
        <f t="shared" si="17"/>
        <v>67000</v>
      </c>
      <c r="J35" s="5">
        <f t="shared" si="18"/>
        <v>44000</v>
      </c>
      <c r="K35" s="8">
        <f t="shared" si="19"/>
        <v>0.3963963963963964</v>
      </c>
    </row>
    <row r="36" spans="1:11" x14ac:dyDescent="0.3">
      <c r="A36">
        <v>35</v>
      </c>
      <c r="B36" t="s">
        <v>7</v>
      </c>
      <c r="C36" t="s">
        <v>89</v>
      </c>
      <c r="D36">
        <v>2</v>
      </c>
      <c r="E36" s="5" t="s">
        <v>347</v>
      </c>
      <c r="F36" s="5" t="s">
        <v>334</v>
      </c>
      <c r="G36" s="4">
        <v>46157</v>
      </c>
      <c r="H36" s="5">
        <f t="shared" si="16"/>
        <v>306000</v>
      </c>
      <c r="I36" s="5">
        <f t="shared" si="17"/>
        <v>164000</v>
      </c>
      <c r="J36" s="5">
        <f t="shared" si="18"/>
        <v>142000</v>
      </c>
      <c r="K36" s="8">
        <f t="shared" si="19"/>
        <v>0.46405228758169936</v>
      </c>
    </row>
    <row r="37" spans="1:11" x14ac:dyDescent="0.3">
      <c r="A37">
        <v>36</v>
      </c>
      <c r="B37" t="s">
        <v>68</v>
      </c>
      <c r="C37" t="s">
        <v>29</v>
      </c>
      <c r="D37">
        <v>4</v>
      </c>
      <c r="E37" s="5" t="s">
        <v>348</v>
      </c>
      <c r="F37" s="5" t="s">
        <v>449</v>
      </c>
      <c r="G37" s="4">
        <v>46226</v>
      </c>
      <c r="H37" s="5">
        <f t="shared" si="16"/>
        <v>244000</v>
      </c>
      <c r="I37" s="5">
        <f t="shared" si="17"/>
        <v>136000</v>
      </c>
      <c r="J37" s="5">
        <f t="shared" si="18"/>
        <v>108000</v>
      </c>
      <c r="K37" s="8">
        <f t="shared" si="19"/>
        <v>0.44262295081967212</v>
      </c>
    </row>
    <row r="38" spans="1:11" hidden="1" x14ac:dyDescent="0.3">
      <c r="A38">
        <v>37</v>
      </c>
      <c r="B38" t="s">
        <v>290</v>
      </c>
      <c r="C38" t="s">
        <v>29</v>
      </c>
      <c r="D38">
        <v>3</v>
      </c>
      <c r="E38" s="5" t="s">
        <v>349</v>
      </c>
      <c r="F38" s="5" t="s">
        <v>429</v>
      </c>
      <c r="G38" s="4">
        <v>46126</v>
      </c>
    </row>
    <row r="39" spans="1:11" x14ac:dyDescent="0.3">
      <c r="A39">
        <v>38</v>
      </c>
      <c r="B39" t="s">
        <v>69</v>
      </c>
      <c r="C39" t="s">
        <v>8</v>
      </c>
      <c r="D39">
        <v>1</v>
      </c>
      <c r="E39" s="5" t="s">
        <v>350</v>
      </c>
      <c r="F39" s="5" t="s">
        <v>450</v>
      </c>
      <c r="G39" s="4">
        <v>46157</v>
      </c>
      <c r="H39" s="5">
        <f t="shared" ref="H39:H50" si="20">D39*E39</f>
        <v>253000</v>
      </c>
      <c r="I39" s="5">
        <f t="shared" ref="I39:I50" si="21">D39*F39</f>
        <v>134000</v>
      </c>
      <c r="J39" s="5">
        <f t="shared" ref="J39:J50" si="22">H39-I39</f>
        <v>119000</v>
      </c>
      <c r="K39" s="8">
        <f t="shared" ref="K39:K50" si="23">J39/H39</f>
        <v>0.47035573122529645</v>
      </c>
    </row>
    <row r="40" spans="1:11" x14ac:dyDescent="0.3">
      <c r="A40">
        <v>39</v>
      </c>
      <c r="B40" t="s">
        <v>71</v>
      </c>
      <c r="C40" t="s">
        <v>14</v>
      </c>
      <c r="D40">
        <v>1</v>
      </c>
      <c r="E40" s="5" t="s">
        <v>336</v>
      </c>
      <c r="F40" s="5" t="s">
        <v>431</v>
      </c>
      <c r="G40" s="4">
        <v>45831</v>
      </c>
      <c r="H40" s="5">
        <f t="shared" si="20"/>
        <v>89000</v>
      </c>
      <c r="I40" s="5">
        <f t="shared" si="21"/>
        <v>59000</v>
      </c>
      <c r="J40" s="5">
        <f t="shared" si="22"/>
        <v>30000</v>
      </c>
      <c r="K40" s="8">
        <f t="shared" si="23"/>
        <v>0.33707865168539325</v>
      </c>
    </row>
    <row r="41" spans="1:11" x14ac:dyDescent="0.3">
      <c r="A41">
        <v>40</v>
      </c>
      <c r="B41" t="s">
        <v>310</v>
      </c>
      <c r="C41" t="s">
        <v>14</v>
      </c>
      <c r="D41">
        <v>4</v>
      </c>
      <c r="E41" s="5" t="s">
        <v>74</v>
      </c>
      <c r="F41" s="5" t="s">
        <v>349</v>
      </c>
      <c r="G41" s="4">
        <v>46232</v>
      </c>
      <c r="H41" s="5">
        <f t="shared" si="20"/>
        <v>256000</v>
      </c>
      <c r="I41" s="5">
        <f t="shared" si="21"/>
        <v>192000</v>
      </c>
      <c r="J41" s="5">
        <f t="shared" si="22"/>
        <v>64000</v>
      </c>
      <c r="K41" s="8">
        <f t="shared" si="23"/>
        <v>0.25</v>
      </c>
    </row>
    <row r="42" spans="1:11" x14ac:dyDescent="0.3">
      <c r="A42">
        <v>41</v>
      </c>
      <c r="B42" t="s">
        <v>65</v>
      </c>
      <c r="C42" t="s">
        <v>122</v>
      </c>
      <c r="D42">
        <v>1</v>
      </c>
      <c r="E42" s="5" t="s">
        <v>351</v>
      </c>
      <c r="F42" s="5" t="s">
        <v>451</v>
      </c>
      <c r="G42" s="4">
        <v>46174</v>
      </c>
      <c r="H42" s="5">
        <f t="shared" si="20"/>
        <v>72000</v>
      </c>
      <c r="I42" s="5">
        <f t="shared" si="21"/>
        <v>53000</v>
      </c>
      <c r="J42" s="5">
        <f t="shared" si="22"/>
        <v>19000</v>
      </c>
      <c r="K42" s="8">
        <f t="shared" si="23"/>
        <v>0.2638888888888889</v>
      </c>
    </row>
    <row r="43" spans="1:11" x14ac:dyDescent="0.3">
      <c r="A43">
        <v>42</v>
      </c>
      <c r="B43" t="s">
        <v>78</v>
      </c>
      <c r="C43" t="s">
        <v>14</v>
      </c>
      <c r="D43">
        <v>1</v>
      </c>
      <c r="E43" s="5" t="s">
        <v>352</v>
      </c>
      <c r="F43" s="5" t="s">
        <v>452</v>
      </c>
      <c r="G43" s="4">
        <v>45971</v>
      </c>
      <c r="H43" s="5">
        <f t="shared" si="20"/>
        <v>96000</v>
      </c>
      <c r="I43" s="5">
        <f t="shared" si="21"/>
        <v>52000</v>
      </c>
      <c r="J43" s="5">
        <f t="shared" si="22"/>
        <v>44000</v>
      </c>
      <c r="K43" s="8">
        <f t="shared" si="23"/>
        <v>0.45833333333333331</v>
      </c>
    </row>
    <row r="44" spans="1:11" x14ac:dyDescent="0.3">
      <c r="A44">
        <v>43</v>
      </c>
      <c r="B44" t="s">
        <v>79</v>
      </c>
      <c r="C44" t="s">
        <v>80</v>
      </c>
      <c r="D44">
        <v>1</v>
      </c>
      <c r="E44" s="5" t="s">
        <v>315</v>
      </c>
      <c r="F44" s="5" t="s">
        <v>453</v>
      </c>
      <c r="G44" s="4">
        <v>45771</v>
      </c>
      <c r="H44" s="5">
        <f t="shared" si="20"/>
        <v>206000</v>
      </c>
      <c r="I44" s="5">
        <f t="shared" si="21"/>
        <v>115000</v>
      </c>
      <c r="J44" s="5">
        <f t="shared" si="22"/>
        <v>91000</v>
      </c>
      <c r="K44" s="8">
        <f t="shared" si="23"/>
        <v>0.44174757281553401</v>
      </c>
    </row>
    <row r="45" spans="1:11" x14ac:dyDescent="0.3">
      <c r="A45">
        <v>44</v>
      </c>
      <c r="B45" t="s">
        <v>81</v>
      </c>
      <c r="C45" t="s">
        <v>14</v>
      </c>
      <c r="D45">
        <v>1</v>
      </c>
      <c r="E45" s="5" t="s">
        <v>336</v>
      </c>
      <c r="F45" s="5" t="s">
        <v>367</v>
      </c>
      <c r="G45" s="4">
        <v>45947</v>
      </c>
      <c r="H45" s="5">
        <f t="shared" si="20"/>
        <v>89000</v>
      </c>
      <c r="I45" s="5">
        <f t="shared" si="21"/>
        <v>62000</v>
      </c>
      <c r="J45" s="5">
        <f t="shared" si="22"/>
        <v>27000</v>
      </c>
      <c r="K45" s="8">
        <f t="shared" si="23"/>
        <v>0.30337078651685395</v>
      </c>
    </row>
    <row r="46" spans="1:11" x14ac:dyDescent="0.3">
      <c r="A46">
        <v>45</v>
      </c>
      <c r="B46" t="s">
        <v>82</v>
      </c>
      <c r="C46" t="s">
        <v>26</v>
      </c>
      <c r="D46">
        <v>1</v>
      </c>
      <c r="E46" s="5" t="s">
        <v>353</v>
      </c>
      <c r="F46" s="5" t="s">
        <v>433</v>
      </c>
      <c r="G46" s="4">
        <v>46133</v>
      </c>
      <c r="H46" s="5">
        <f t="shared" si="20"/>
        <v>6000</v>
      </c>
      <c r="I46" s="5">
        <f t="shared" si="21"/>
        <v>5000</v>
      </c>
      <c r="J46" s="5">
        <f t="shared" si="22"/>
        <v>1000</v>
      </c>
      <c r="K46" s="8">
        <f t="shared" si="23"/>
        <v>0.16666666666666666</v>
      </c>
    </row>
    <row r="47" spans="1:11" x14ac:dyDescent="0.3">
      <c r="A47">
        <v>46</v>
      </c>
      <c r="B47" t="s">
        <v>84</v>
      </c>
      <c r="C47" t="s">
        <v>26</v>
      </c>
      <c r="D47">
        <v>1</v>
      </c>
      <c r="E47" s="5" t="s">
        <v>354</v>
      </c>
      <c r="F47" s="5" t="s">
        <v>433</v>
      </c>
      <c r="G47" s="4">
        <v>45979</v>
      </c>
      <c r="H47" s="5">
        <f t="shared" si="20"/>
        <v>8000</v>
      </c>
      <c r="I47" s="5">
        <f t="shared" si="21"/>
        <v>5000</v>
      </c>
      <c r="J47" s="5">
        <f t="shared" si="22"/>
        <v>3000</v>
      </c>
      <c r="K47" s="8">
        <f t="shared" si="23"/>
        <v>0.375</v>
      </c>
    </row>
    <row r="48" spans="1:11" x14ac:dyDescent="0.3">
      <c r="A48">
        <v>47</v>
      </c>
      <c r="B48" t="s">
        <v>291</v>
      </c>
      <c r="C48" t="s">
        <v>29</v>
      </c>
      <c r="D48">
        <v>1</v>
      </c>
      <c r="E48" s="5" t="s">
        <v>341</v>
      </c>
      <c r="F48" s="5" t="s">
        <v>378</v>
      </c>
      <c r="G48" s="4">
        <v>45867</v>
      </c>
      <c r="H48" s="5">
        <f t="shared" si="20"/>
        <v>40000</v>
      </c>
      <c r="I48" s="5">
        <f t="shared" si="21"/>
        <v>22000</v>
      </c>
      <c r="J48" s="5">
        <f t="shared" si="22"/>
        <v>18000</v>
      </c>
      <c r="K48" s="8">
        <f t="shared" si="23"/>
        <v>0.45</v>
      </c>
    </row>
    <row r="49" spans="1:11" x14ac:dyDescent="0.3">
      <c r="A49">
        <v>48</v>
      </c>
      <c r="B49" t="s">
        <v>87</v>
      </c>
      <c r="C49" t="s">
        <v>29</v>
      </c>
      <c r="D49">
        <v>1</v>
      </c>
      <c r="E49" s="5" t="s">
        <v>348</v>
      </c>
      <c r="F49" s="5" t="s">
        <v>454</v>
      </c>
      <c r="G49" s="4">
        <v>45715</v>
      </c>
      <c r="H49" s="5">
        <f t="shared" si="20"/>
        <v>61000</v>
      </c>
      <c r="I49" s="5">
        <f t="shared" si="21"/>
        <v>44000</v>
      </c>
      <c r="J49" s="5">
        <f t="shared" si="22"/>
        <v>17000</v>
      </c>
      <c r="K49" s="8">
        <f t="shared" si="23"/>
        <v>0.27868852459016391</v>
      </c>
    </row>
    <row r="50" spans="1:11" x14ac:dyDescent="0.3">
      <c r="A50">
        <v>49</v>
      </c>
      <c r="B50" t="s">
        <v>48</v>
      </c>
      <c r="C50" t="s">
        <v>89</v>
      </c>
      <c r="D50">
        <v>1</v>
      </c>
      <c r="E50" s="5" t="s">
        <v>355</v>
      </c>
      <c r="F50" s="5" t="s">
        <v>455</v>
      </c>
      <c r="G50" s="4">
        <v>46164</v>
      </c>
      <c r="H50" s="5">
        <f t="shared" si="20"/>
        <v>177000</v>
      </c>
      <c r="I50" s="5">
        <f t="shared" si="21"/>
        <v>119000</v>
      </c>
      <c r="J50" s="5">
        <f t="shared" si="22"/>
        <v>58000</v>
      </c>
      <c r="K50" s="8">
        <f t="shared" si="23"/>
        <v>0.32768361581920902</v>
      </c>
    </row>
    <row r="51" spans="1:11" hidden="1" x14ac:dyDescent="0.3">
      <c r="A51">
        <v>50</v>
      </c>
      <c r="B51" t="s">
        <v>90</v>
      </c>
      <c r="C51" t="s">
        <v>52</v>
      </c>
      <c r="D51">
        <v>2</v>
      </c>
      <c r="E51" s="5" t="s">
        <v>356</v>
      </c>
      <c r="F51" s="5" t="s">
        <v>333</v>
      </c>
    </row>
    <row r="52" spans="1:11" x14ac:dyDescent="0.3">
      <c r="A52">
        <v>51</v>
      </c>
      <c r="B52" t="s">
        <v>91</v>
      </c>
      <c r="C52" t="s">
        <v>8</v>
      </c>
      <c r="D52">
        <v>1</v>
      </c>
      <c r="E52" s="5" t="s">
        <v>357</v>
      </c>
      <c r="F52" s="5" t="s">
        <v>456</v>
      </c>
      <c r="G52" s="4">
        <v>45785</v>
      </c>
      <c r="H52" s="5">
        <f t="shared" ref="H52:H56" si="24">D52*E52</f>
        <v>291000</v>
      </c>
      <c r="I52" s="5">
        <f t="shared" ref="I52:I56" si="25">D52*F52</f>
        <v>178000</v>
      </c>
      <c r="J52" s="5">
        <f t="shared" ref="J52:J56" si="26">H52-I52</f>
        <v>113000</v>
      </c>
      <c r="K52" s="8">
        <f t="shared" ref="K52:K56" si="27">J52/H52</f>
        <v>0.38831615120274915</v>
      </c>
    </row>
    <row r="53" spans="1:11" x14ac:dyDescent="0.3">
      <c r="A53">
        <v>52</v>
      </c>
      <c r="B53" t="s">
        <v>92</v>
      </c>
      <c r="C53" t="s">
        <v>29</v>
      </c>
      <c r="D53">
        <v>1</v>
      </c>
      <c r="E53" s="5" t="s">
        <v>358</v>
      </c>
      <c r="F53" s="5" t="s">
        <v>457</v>
      </c>
      <c r="G53" s="4">
        <v>46237</v>
      </c>
      <c r="H53" s="5">
        <f t="shared" si="24"/>
        <v>58000</v>
      </c>
      <c r="I53" s="5">
        <f t="shared" si="25"/>
        <v>33000</v>
      </c>
      <c r="J53" s="5">
        <f t="shared" si="26"/>
        <v>25000</v>
      </c>
      <c r="K53" s="8">
        <f t="shared" si="27"/>
        <v>0.43103448275862066</v>
      </c>
    </row>
    <row r="54" spans="1:11" x14ac:dyDescent="0.3">
      <c r="A54">
        <v>53</v>
      </c>
      <c r="B54" t="s">
        <v>93</v>
      </c>
      <c r="C54" t="s">
        <v>8</v>
      </c>
      <c r="D54">
        <v>1</v>
      </c>
      <c r="E54" s="5" t="s">
        <v>94</v>
      </c>
      <c r="F54" s="5" t="s">
        <v>458</v>
      </c>
      <c r="G54" s="4">
        <v>45735</v>
      </c>
      <c r="H54" s="5">
        <f t="shared" si="24"/>
        <v>259000</v>
      </c>
      <c r="I54" s="5">
        <f t="shared" si="25"/>
        <v>187000</v>
      </c>
      <c r="J54" s="5">
        <f t="shared" si="26"/>
        <v>72000</v>
      </c>
      <c r="K54" s="8">
        <f t="shared" si="27"/>
        <v>0.27799227799227799</v>
      </c>
    </row>
    <row r="55" spans="1:11" x14ac:dyDescent="0.3">
      <c r="A55">
        <v>54</v>
      </c>
      <c r="B55" t="s">
        <v>95</v>
      </c>
      <c r="C55" t="s">
        <v>8</v>
      </c>
      <c r="D55">
        <v>1</v>
      </c>
      <c r="E55" s="5" t="s">
        <v>359</v>
      </c>
      <c r="F55" s="5" t="s">
        <v>434</v>
      </c>
      <c r="G55" s="4">
        <v>45724</v>
      </c>
      <c r="H55" s="5">
        <f t="shared" si="24"/>
        <v>239000</v>
      </c>
      <c r="I55" s="5">
        <f t="shared" si="25"/>
        <v>133000</v>
      </c>
      <c r="J55" s="5">
        <f t="shared" si="26"/>
        <v>106000</v>
      </c>
      <c r="K55" s="8">
        <f t="shared" si="27"/>
        <v>0.44351464435146443</v>
      </c>
    </row>
    <row r="56" spans="1:11" x14ac:dyDescent="0.3">
      <c r="A56">
        <v>55</v>
      </c>
      <c r="B56" t="s">
        <v>96</v>
      </c>
      <c r="C56" t="s">
        <v>16</v>
      </c>
      <c r="D56">
        <v>1</v>
      </c>
      <c r="E56" s="5" t="s">
        <v>360</v>
      </c>
      <c r="F56" s="5" t="s">
        <v>459</v>
      </c>
      <c r="G56" s="4">
        <v>45662</v>
      </c>
      <c r="H56" s="5">
        <f t="shared" si="24"/>
        <v>189000</v>
      </c>
      <c r="I56" s="5">
        <f t="shared" si="25"/>
        <v>129000</v>
      </c>
      <c r="J56" s="5">
        <f t="shared" si="26"/>
        <v>60000</v>
      </c>
      <c r="K56" s="8">
        <f t="shared" si="27"/>
        <v>0.31746031746031744</v>
      </c>
    </row>
    <row r="57" spans="1:11" hidden="1" x14ac:dyDescent="0.3">
      <c r="A57">
        <v>56</v>
      </c>
      <c r="B57" t="s">
        <v>135</v>
      </c>
      <c r="C57" t="s">
        <v>29</v>
      </c>
      <c r="E57" s="5" t="s">
        <v>351</v>
      </c>
      <c r="F57" s="5" t="s">
        <v>342</v>
      </c>
      <c r="G57" s="4">
        <v>46119</v>
      </c>
    </row>
    <row r="58" spans="1:11" x14ac:dyDescent="0.3">
      <c r="A58">
        <v>57</v>
      </c>
      <c r="B58" t="s">
        <v>98</v>
      </c>
      <c r="C58" t="s">
        <v>41</v>
      </c>
      <c r="D58">
        <v>1</v>
      </c>
      <c r="E58" s="5" t="s">
        <v>349</v>
      </c>
      <c r="F58" s="5" t="s">
        <v>333</v>
      </c>
      <c r="G58" s="4">
        <v>46112</v>
      </c>
      <c r="H58" s="5">
        <f t="shared" ref="H58:H59" si="28">D58*E58</f>
        <v>48000</v>
      </c>
      <c r="I58" s="5">
        <f t="shared" ref="I58:I59" si="29">D58*F58</f>
        <v>31000</v>
      </c>
      <c r="J58" s="5">
        <f t="shared" ref="J58:J59" si="30">H58-I58</f>
        <v>17000</v>
      </c>
      <c r="K58" s="8">
        <f t="shared" ref="K58:K59" si="31">J58/H58</f>
        <v>0.35416666666666669</v>
      </c>
    </row>
    <row r="59" spans="1:11" x14ac:dyDescent="0.3">
      <c r="A59">
        <v>58</v>
      </c>
      <c r="B59" t="s">
        <v>99</v>
      </c>
      <c r="C59" t="s">
        <v>8</v>
      </c>
      <c r="D59">
        <v>1</v>
      </c>
      <c r="E59" s="5" t="s">
        <v>361</v>
      </c>
      <c r="F59" s="5" t="s">
        <v>424</v>
      </c>
      <c r="G59" s="4">
        <v>45991</v>
      </c>
      <c r="H59" s="5">
        <f t="shared" si="28"/>
        <v>120000</v>
      </c>
      <c r="I59" s="5">
        <f t="shared" si="29"/>
        <v>84000</v>
      </c>
      <c r="J59" s="5">
        <f t="shared" si="30"/>
        <v>36000</v>
      </c>
      <c r="K59" s="8">
        <f t="shared" si="31"/>
        <v>0.3</v>
      </c>
    </row>
    <row r="60" spans="1:11" hidden="1" x14ac:dyDescent="0.3">
      <c r="A60">
        <v>59</v>
      </c>
      <c r="B60" t="s">
        <v>100</v>
      </c>
      <c r="C60" t="s">
        <v>8</v>
      </c>
      <c r="D60">
        <v>3</v>
      </c>
      <c r="E60" s="5" t="s">
        <v>362</v>
      </c>
      <c r="F60" s="5" t="s">
        <v>418</v>
      </c>
    </row>
    <row r="61" spans="1:11" x14ac:dyDescent="0.3">
      <c r="A61">
        <v>60</v>
      </c>
      <c r="B61" t="s">
        <v>101</v>
      </c>
      <c r="C61" t="s">
        <v>308</v>
      </c>
      <c r="D61">
        <v>1</v>
      </c>
      <c r="E61" s="5" t="s">
        <v>315</v>
      </c>
      <c r="F61" s="5" t="s">
        <v>460</v>
      </c>
      <c r="G61" s="4">
        <v>46032</v>
      </c>
      <c r="H61" s="5">
        <f t="shared" ref="H61:H70" si="32">D61*E61</f>
        <v>206000</v>
      </c>
      <c r="I61" s="5">
        <f t="shared" ref="I61:I70" si="33">D61*F61</f>
        <v>156000</v>
      </c>
      <c r="J61" s="5">
        <f t="shared" ref="J61:J70" si="34">H61-I61</f>
        <v>50000</v>
      </c>
      <c r="K61" s="8">
        <f t="shared" ref="K61:K70" si="35">J61/H61</f>
        <v>0.24271844660194175</v>
      </c>
    </row>
    <row r="62" spans="1:11" x14ac:dyDescent="0.3">
      <c r="A62">
        <v>61</v>
      </c>
      <c r="B62" t="s">
        <v>66</v>
      </c>
      <c r="C62" t="s">
        <v>8</v>
      </c>
      <c r="D62">
        <v>1</v>
      </c>
      <c r="E62" s="5" t="s">
        <v>363</v>
      </c>
      <c r="F62" s="5" t="s">
        <v>391</v>
      </c>
      <c r="G62" s="4">
        <v>45836</v>
      </c>
      <c r="H62" s="5">
        <f t="shared" si="32"/>
        <v>182000</v>
      </c>
      <c r="I62" s="5">
        <f t="shared" si="33"/>
        <v>117000</v>
      </c>
      <c r="J62" s="5">
        <f t="shared" si="34"/>
        <v>65000</v>
      </c>
      <c r="K62" s="8">
        <f t="shared" si="35"/>
        <v>0.35714285714285715</v>
      </c>
    </row>
    <row r="63" spans="1:11" x14ac:dyDescent="0.3">
      <c r="A63">
        <v>62</v>
      </c>
      <c r="B63" t="s">
        <v>103</v>
      </c>
      <c r="C63" t="s">
        <v>37</v>
      </c>
      <c r="D63">
        <v>1</v>
      </c>
      <c r="E63" s="5" t="s">
        <v>364</v>
      </c>
      <c r="F63" s="5" t="s">
        <v>325</v>
      </c>
      <c r="G63" s="4">
        <v>45890</v>
      </c>
      <c r="H63" s="5">
        <f t="shared" si="32"/>
        <v>108000</v>
      </c>
      <c r="I63" s="5">
        <f t="shared" si="33"/>
        <v>71000</v>
      </c>
      <c r="J63" s="5">
        <f t="shared" si="34"/>
        <v>37000</v>
      </c>
      <c r="K63" s="8">
        <f t="shared" si="35"/>
        <v>0.34259259259259262</v>
      </c>
    </row>
    <row r="64" spans="1:11" x14ac:dyDescent="0.3">
      <c r="A64">
        <v>63</v>
      </c>
      <c r="B64" t="s">
        <v>292</v>
      </c>
      <c r="C64" t="s">
        <v>52</v>
      </c>
      <c r="D64">
        <v>1</v>
      </c>
      <c r="E64" s="5" t="s">
        <v>365</v>
      </c>
      <c r="F64" s="5" t="s">
        <v>461</v>
      </c>
      <c r="G64" s="4">
        <v>46006</v>
      </c>
      <c r="H64" s="5">
        <f t="shared" si="32"/>
        <v>60000</v>
      </c>
      <c r="I64" s="5">
        <f t="shared" si="33"/>
        <v>35000</v>
      </c>
      <c r="J64" s="5">
        <f t="shared" si="34"/>
        <v>25000</v>
      </c>
      <c r="K64" s="8">
        <f t="shared" si="35"/>
        <v>0.41666666666666669</v>
      </c>
    </row>
    <row r="65" spans="1:11" x14ac:dyDescent="0.3">
      <c r="A65">
        <v>64</v>
      </c>
      <c r="B65" t="s">
        <v>293</v>
      </c>
      <c r="C65" t="s">
        <v>308</v>
      </c>
      <c r="D65">
        <v>2</v>
      </c>
      <c r="E65" s="5" t="s">
        <v>366</v>
      </c>
      <c r="F65" s="5" t="s">
        <v>462</v>
      </c>
      <c r="G65" s="4">
        <v>46224</v>
      </c>
      <c r="H65" s="5">
        <f t="shared" si="32"/>
        <v>474000</v>
      </c>
      <c r="I65" s="5">
        <f t="shared" si="33"/>
        <v>292000</v>
      </c>
      <c r="J65" s="5">
        <f t="shared" si="34"/>
        <v>182000</v>
      </c>
      <c r="K65" s="8">
        <f t="shared" si="35"/>
        <v>0.38396624472573837</v>
      </c>
    </row>
    <row r="66" spans="1:11" x14ac:dyDescent="0.3">
      <c r="A66">
        <v>65</v>
      </c>
      <c r="B66" t="s">
        <v>294</v>
      </c>
      <c r="C66" t="s">
        <v>14</v>
      </c>
      <c r="D66">
        <v>1</v>
      </c>
      <c r="E66" s="5" t="s">
        <v>367</v>
      </c>
      <c r="F66" s="5" t="s">
        <v>342</v>
      </c>
      <c r="G66" s="4">
        <v>45682</v>
      </c>
      <c r="H66" s="5">
        <f t="shared" si="32"/>
        <v>62000</v>
      </c>
      <c r="I66" s="5">
        <f t="shared" si="33"/>
        <v>45000</v>
      </c>
      <c r="J66" s="5">
        <f t="shared" si="34"/>
        <v>17000</v>
      </c>
      <c r="K66" s="8">
        <f t="shared" si="35"/>
        <v>0.27419354838709675</v>
      </c>
    </row>
    <row r="67" spans="1:11" x14ac:dyDescent="0.3">
      <c r="A67">
        <v>66</v>
      </c>
      <c r="B67" t="s">
        <v>108</v>
      </c>
      <c r="C67" t="s">
        <v>52</v>
      </c>
      <c r="D67">
        <v>1</v>
      </c>
      <c r="E67" s="5" t="s">
        <v>368</v>
      </c>
      <c r="F67" s="5" t="s">
        <v>431</v>
      </c>
      <c r="G67" s="4">
        <v>46061</v>
      </c>
      <c r="H67" s="5">
        <f t="shared" si="32"/>
        <v>93000</v>
      </c>
      <c r="I67" s="5">
        <f t="shared" si="33"/>
        <v>59000</v>
      </c>
      <c r="J67" s="5">
        <f t="shared" si="34"/>
        <v>34000</v>
      </c>
      <c r="K67" s="8">
        <f t="shared" si="35"/>
        <v>0.36559139784946237</v>
      </c>
    </row>
    <row r="68" spans="1:11" x14ac:dyDescent="0.3">
      <c r="A68">
        <v>67</v>
      </c>
      <c r="B68" t="s">
        <v>109</v>
      </c>
      <c r="C68" t="s">
        <v>80</v>
      </c>
      <c r="D68">
        <v>2</v>
      </c>
      <c r="E68" s="5" t="s">
        <v>369</v>
      </c>
      <c r="F68" s="5" t="s">
        <v>388</v>
      </c>
      <c r="G68" s="4">
        <v>46097</v>
      </c>
      <c r="H68" s="5">
        <f t="shared" si="32"/>
        <v>182000</v>
      </c>
      <c r="I68" s="5">
        <f t="shared" si="33"/>
        <v>100000</v>
      </c>
      <c r="J68" s="5">
        <f t="shared" si="34"/>
        <v>82000</v>
      </c>
      <c r="K68" s="8">
        <f t="shared" si="35"/>
        <v>0.45054945054945056</v>
      </c>
    </row>
    <row r="69" spans="1:11" x14ac:dyDescent="0.3">
      <c r="A69">
        <v>68</v>
      </c>
      <c r="B69" t="s">
        <v>110</v>
      </c>
      <c r="C69" t="s">
        <v>8</v>
      </c>
      <c r="D69">
        <v>1</v>
      </c>
      <c r="E69" s="5" t="s">
        <v>370</v>
      </c>
      <c r="F69" s="5" t="s">
        <v>435</v>
      </c>
      <c r="G69" s="4">
        <v>46115</v>
      </c>
      <c r="H69" s="5">
        <f t="shared" si="32"/>
        <v>228000</v>
      </c>
      <c r="I69" s="5">
        <f t="shared" si="33"/>
        <v>167000</v>
      </c>
      <c r="J69" s="5">
        <f t="shared" si="34"/>
        <v>61000</v>
      </c>
      <c r="K69" s="8">
        <f t="shared" si="35"/>
        <v>0.26754385964912281</v>
      </c>
    </row>
    <row r="70" spans="1:11" x14ac:dyDescent="0.3">
      <c r="A70">
        <v>69</v>
      </c>
      <c r="B70" t="s">
        <v>112</v>
      </c>
      <c r="C70" t="s">
        <v>19</v>
      </c>
      <c r="D70">
        <v>1</v>
      </c>
      <c r="E70" s="5" t="s">
        <v>113</v>
      </c>
      <c r="F70" s="5" t="s">
        <v>388</v>
      </c>
      <c r="G70" s="4">
        <v>46213</v>
      </c>
      <c r="H70" s="5">
        <f t="shared" si="32"/>
        <v>76000</v>
      </c>
      <c r="I70" s="5">
        <f t="shared" si="33"/>
        <v>50000</v>
      </c>
      <c r="J70" s="5">
        <f t="shared" si="34"/>
        <v>26000</v>
      </c>
      <c r="K70" s="8">
        <f t="shared" si="35"/>
        <v>0.34210526315789475</v>
      </c>
    </row>
    <row r="71" spans="1:11" hidden="1" x14ac:dyDescent="0.3">
      <c r="A71">
        <v>70</v>
      </c>
      <c r="B71" t="s">
        <v>290</v>
      </c>
      <c r="C71" t="s">
        <v>8</v>
      </c>
      <c r="D71">
        <v>1</v>
      </c>
      <c r="E71" s="5" t="s">
        <v>371</v>
      </c>
      <c r="F71" s="5" t="s">
        <v>463</v>
      </c>
      <c r="G71" s="4">
        <v>45884</v>
      </c>
    </row>
    <row r="72" spans="1:11" hidden="1" x14ac:dyDescent="0.3">
      <c r="A72">
        <v>71</v>
      </c>
      <c r="B72" t="s">
        <v>114</v>
      </c>
      <c r="C72" t="s">
        <v>50</v>
      </c>
      <c r="E72" s="5" t="s">
        <v>115</v>
      </c>
      <c r="F72" s="5" t="s">
        <v>325</v>
      </c>
      <c r="G72" s="4">
        <v>46024</v>
      </c>
    </row>
    <row r="73" spans="1:11" x14ac:dyDescent="0.3">
      <c r="A73">
        <v>72</v>
      </c>
      <c r="B73" t="s">
        <v>93</v>
      </c>
      <c r="C73" t="s">
        <v>14</v>
      </c>
      <c r="D73">
        <v>1</v>
      </c>
      <c r="E73" s="5" t="s">
        <v>372</v>
      </c>
      <c r="F73" s="5" t="s">
        <v>390</v>
      </c>
      <c r="G73" s="4">
        <v>46019</v>
      </c>
      <c r="H73" s="5">
        <f t="shared" ref="H73:H85" si="36">D73*E73</f>
        <v>67000</v>
      </c>
      <c r="I73" s="5">
        <f t="shared" ref="I73:I85" si="37">D73*F73</f>
        <v>51000</v>
      </c>
      <c r="J73" s="5">
        <f t="shared" ref="J73:J85" si="38">H73-I73</f>
        <v>16000</v>
      </c>
      <c r="K73" s="8">
        <f t="shared" ref="K73:K85" si="39">J73/H73</f>
        <v>0.23880597014925373</v>
      </c>
    </row>
    <row r="74" spans="1:11" x14ac:dyDescent="0.3">
      <c r="A74">
        <v>73</v>
      </c>
      <c r="B74" t="s">
        <v>117</v>
      </c>
      <c r="C74" t="s">
        <v>309</v>
      </c>
      <c r="D74">
        <v>1</v>
      </c>
      <c r="E74" s="5" t="s">
        <v>373</v>
      </c>
      <c r="F74" s="5" t="s">
        <v>464</v>
      </c>
      <c r="G74" s="4">
        <v>45951</v>
      </c>
      <c r="H74" s="5">
        <f t="shared" si="36"/>
        <v>296000</v>
      </c>
      <c r="I74" s="5">
        <f t="shared" si="37"/>
        <v>185000</v>
      </c>
      <c r="J74" s="5">
        <f t="shared" si="38"/>
        <v>111000</v>
      </c>
      <c r="K74" s="8">
        <f t="shared" si="39"/>
        <v>0.375</v>
      </c>
    </row>
    <row r="75" spans="1:11" x14ac:dyDescent="0.3">
      <c r="A75">
        <v>74</v>
      </c>
      <c r="B75" t="s">
        <v>119</v>
      </c>
      <c r="C75" t="s">
        <v>122</v>
      </c>
      <c r="D75">
        <v>1</v>
      </c>
      <c r="E75" s="5" t="s">
        <v>374</v>
      </c>
      <c r="F75" s="5" t="s">
        <v>349</v>
      </c>
      <c r="G75" s="4">
        <v>46010</v>
      </c>
      <c r="H75" s="5">
        <f t="shared" si="36"/>
        <v>65000</v>
      </c>
      <c r="I75" s="5">
        <f t="shared" si="37"/>
        <v>48000</v>
      </c>
      <c r="J75" s="5">
        <f t="shared" si="38"/>
        <v>17000</v>
      </c>
      <c r="K75" s="8">
        <f t="shared" si="39"/>
        <v>0.26153846153846155</v>
      </c>
    </row>
    <row r="76" spans="1:11" x14ac:dyDescent="0.3">
      <c r="A76">
        <v>75</v>
      </c>
      <c r="B76" t="s">
        <v>121</v>
      </c>
      <c r="C76" t="s">
        <v>122</v>
      </c>
      <c r="D76">
        <v>2</v>
      </c>
      <c r="E76" s="5" t="s">
        <v>356</v>
      </c>
      <c r="F76" s="5" t="s">
        <v>461</v>
      </c>
      <c r="G76" s="4">
        <v>45754</v>
      </c>
      <c r="H76" s="5">
        <f t="shared" si="36"/>
        <v>98000</v>
      </c>
      <c r="I76" s="5">
        <f t="shared" si="37"/>
        <v>70000</v>
      </c>
      <c r="J76" s="5">
        <f t="shared" si="38"/>
        <v>28000</v>
      </c>
      <c r="K76" s="8">
        <f t="shared" si="39"/>
        <v>0.2857142857142857</v>
      </c>
    </row>
    <row r="77" spans="1:11" x14ac:dyDescent="0.3">
      <c r="A77">
        <v>76</v>
      </c>
      <c r="B77" t="s">
        <v>295</v>
      </c>
      <c r="C77" t="s">
        <v>58</v>
      </c>
      <c r="D77">
        <v>1</v>
      </c>
      <c r="E77" s="5" t="s">
        <v>375</v>
      </c>
      <c r="F77" s="5" t="s">
        <v>401</v>
      </c>
      <c r="G77" s="4">
        <v>45917</v>
      </c>
      <c r="H77" s="5">
        <f t="shared" si="36"/>
        <v>43000</v>
      </c>
      <c r="I77" s="5">
        <f t="shared" si="37"/>
        <v>23000</v>
      </c>
      <c r="J77" s="5">
        <f t="shared" si="38"/>
        <v>20000</v>
      </c>
      <c r="K77" s="8">
        <f t="shared" si="39"/>
        <v>0.46511627906976744</v>
      </c>
    </row>
    <row r="78" spans="1:11" x14ac:dyDescent="0.3">
      <c r="A78">
        <v>77</v>
      </c>
      <c r="B78" t="s">
        <v>231</v>
      </c>
      <c r="C78" t="s">
        <v>89</v>
      </c>
      <c r="D78">
        <v>2</v>
      </c>
      <c r="E78" s="5" t="s">
        <v>346</v>
      </c>
      <c r="F78" s="5" t="s">
        <v>419</v>
      </c>
      <c r="G78" s="4">
        <v>46111</v>
      </c>
      <c r="H78" s="5">
        <f t="shared" si="36"/>
        <v>248000</v>
      </c>
      <c r="I78" s="5">
        <f t="shared" si="37"/>
        <v>156000</v>
      </c>
      <c r="J78" s="5">
        <f t="shared" si="38"/>
        <v>92000</v>
      </c>
      <c r="K78" s="8">
        <f t="shared" si="39"/>
        <v>0.37096774193548387</v>
      </c>
    </row>
    <row r="79" spans="1:11" x14ac:dyDescent="0.3">
      <c r="A79">
        <v>78</v>
      </c>
      <c r="B79" t="s">
        <v>126</v>
      </c>
      <c r="C79" t="s">
        <v>89</v>
      </c>
      <c r="D79">
        <v>1</v>
      </c>
      <c r="E79" s="5" t="s">
        <v>376</v>
      </c>
      <c r="F79" s="5" t="s">
        <v>465</v>
      </c>
      <c r="G79" s="4">
        <v>45998</v>
      </c>
      <c r="H79" s="5">
        <f t="shared" si="36"/>
        <v>155000</v>
      </c>
      <c r="I79" s="5">
        <f t="shared" si="37"/>
        <v>113000</v>
      </c>
      <c r="J79" s="5">
        <f t="shared" si="38"/>
        <v>42000</v>
      </c>
      <c r="K79" s="8">
        <f t="shared" si="39"/>
        <v>0.2709677419354839</v>
      </c>
    </row>
    <row r="80" spans="1:11" x14ac:dyDescent="0.3">
      <c r="A80">
        <v>79</v>
      </c>
      <c r="B80" t="s">
        <v>127</v>
      </c>
      <c r="C80" t="s">
        <v>29</v>
      </c>
      <c r="D80">
        <v>1</v>
      </c>
      <c r="E80" s="5" t="s">
        <v>377</v>
      </c>
      <c r="F80" s="5" t="s">
        <v>454</v>
      </c>
      <c r="G80" s="4">
        <v>45954</v>
      </c>
      <c r="H80" s="5">
        <f t="shared" si="36"/>
        <v>68000</v>
      </c>
      <c r="I80" s="5">
        <f t="shared" si="37"/>
        <v>44000</v>
      </c>
      <c r="J80" s="5">
        <f t="shared" si="38"/>
        <v>24000</v>
      </c>
      <c r="K80" s="8">
        <f t="shared" si="39"/>
        <v>0.35294117647058826</v>
      </c>
    </row>
    <row r="81" spans="1:11" x14ac:dyDescent="0.3">
      <c r="A81">
        <v>80</v>
      </c>
      <c r="B81" t="s">
        <v>296</v>
      </c>
      <c r="C81" t="s">
        <v>50</v>
      </c>
      <c r="D81">
        <v>1</v>
      </c>
      <c r="E81" s="5" t="s">
        <v>338</v>
      </c>
      <c r="F81" s="5" t="s">
        <v>356</v>
      </c>
      <c r="G81" s="4">
        <v>45671</v>
      </c>
      <c r="H81" s="5">
        <f t="shared" si="36"/>
        <v>81000</v>
      </c>
      <c r="I81" s="5">
        <f t="shared" si="37"/>
        <v>49000</v>
      </c>
      <c r="J81" s="5">
        <f t="shared" si="38"/>
        <v>32000</v>
      </c>
      <c r="K81" s="8">
        <f t="shared" si="39"/>
        <v>0.39506172839506171</v>
      </c>
    </row>
    <row r="82" spans="1:11" x14ac:dyDescent="0.3">
      <c r="A82">
        <v>81</v>
      </c>
      <c r="B82" t="s">
        <v>129</v>
      </c>
      <c r="C82" t="s">
        <v>89</v>
      </c>
      <c r="D82">
        <v>1</v>
      </c>
      <c r="E82" s="5" t="s">
        <v>130</v>
      </c>
      <c r="F82" s="5" t="s">
        <v>466</v>
      </c>
      <c r="G82" s="4">
        <v>46021</v>
      </c>
      <c r="H82" s="5">
        <f t="shared" si="36"/>
        <v>166000</v>
      </c>
      <c r="I82" s="5">
        <f t="shared" si="37"/>
        <v>125000</v>
      </c>
      <c r="J82" s="5">
        <f t="shared" si="38"/>
        <v>41000</v>
      </c>
      <c r="K82" s="8">
        <f t="shared" si="39"/>
        <v>0.24698795180722891</v>
      </c>
    </row>
    <row r="83" spans="1:11" x14ac:dyDescent="0.3">
      <c r="A83">
        <v>82</v>
      </c>
      <c r="B83" t="s">
        <v>131</v>
      </c>
      <c r="C83" t="s">
        <v>58</v>
      </c>
      <c r="D83">
        <v>1</v>
      </c>
      <c r="E83" s="5" t="s">
        <v>378</v>
      </c>
      <c r="F83" s="5" t="s">
        <v>467</v>
      </c>
      <c r="G83" s="4">
        <v>46217</v>
      </c>
      <c r="H83" s="5">
        <f t="shared" si="36"/>
        <v>22000</v>
      </c>
      <c r="I83" s="5">
        <f t="shared" si="37"/>
        <v>13000</v>
      </c>
      <c r="J83" s="5">
        <f t="shared" si="38"/>
        <v>9000</v>
      </c>
      <c r="K83" s="8">
        <f t="shared" si="39"/>
        <v>0.40909090909090912</v>
      </c>
    </row>
    <row r="84" spans="1:11" x14ac:dyDescent="0.3">
      <c r="A84">
        <v>83</v>
      </c>
      <c r="B84" t="s">
        <v>31</v>
      </c>
      <c r="C84" t="s">
        <v>41</v>
      </c>
      <c r="D84">
        <v>1</v>
      </c>
      <c r="E84" s="5" t="s">
        <v>379</v>
      </c>
      <c r="F84" s="5" t="s">
        <v>349</v>
      </c>
      <c r="G84" s="4">
        <v>45826</v>
      </c>
      <c r="H84" s="5">
        <f t="shared" si="36"/>
        <v>70000</v>
      </c>
      <c r="I84" s="5">
        <f t="shared" si="37"/>
        <v>48000</v>
      </c>
      <c r="J84" s="5">
        <f t="shared" si="38"/>
        <v>22000</v>
      </c>
      <c r="K84" s="8">
        <f t="shared" si="39"/>
        <v>0.31428571428571428</v>
      </c>
    </row>
    <row r="85" spans="1:11" x14ac:dyDescent="0.3">
      <c r="A85">
        <v>84</v>
      </c>
      <c r="B85" t="s">
        <v>132</v>
      </c>
      <c r="C85" t="s">
        <v>122</v>
      </c>
      <c r="D85">
        <v>1</v>
      </c>
      <c r="E85" s="5" t="s">
        <v>380</v>
      </c>
      <c r="F85" s="5" t="s">
        <v>134</v>
      </c>
      <c r="G85" s="4">
        <v>45734</v>
      </c>
      <c r="H85" s="5">
        <f t="shared" si="36"/>
        <v>85000</v>
      </c>
      <c r="I85" s="5">
        <f t="shared" si="37"/>
        <v>65000</v>
      </c>
      <c r="J85" s="5">
        <f t="shared" si="38"/>
        <v>20000</v>
      </c>
      <c r="K85" s="8">
        <f t="shared" si="39"/>
        <v>0.23529411764705882</v>
      </c>
    </row>
    <row r="86" spans="1:11" hidden="1" x14ac:dyDescent="0.3">
      <c r="A86">
        <v>85</v>
      </c>
      <c r="B86" t="s">
        <v>135</v>
      </c>
      <c r="C86" t="s">
        <v>89</v>
      </c>
      <c r="D86">
        <v>1</v>
      </c>
      <c r="E86" s="5" t="s">
        <v>381</v>
      </c>
      <c r="F86" s="5" t="s">
        <v>317</v>
      </c>
    </row>
    <row r="87" spans="1:11" hidden="1" x14ac:dyDescent="0.3">
      <c r="A87">
        <v>86</v>
      </c>
      <c r="B87" t="s">
        <v>290</v>
      </c>
      <c r="C87" t="s">
        <v>89</v>
      </c>
      <c r="D87">
        <v>1</v>
      </c>
      <c r="E87" s="5" t="s">
        <v>382</v>
      </c>
      <c r="F87" s="5" t="s">
        <v>411</v>
      </c>
      <c r="G87" s="4">
        <v>46205</v>
      </c>
    </row>
    <row r="88" spans="1:11" x14ac:dyDescent="0.3">
      <c r="A88">
        <v>87</v>
      </c>
      <c r="B88" t="s">
        <v>136</v>
      </c>
      <c r="C88" t="s">
        <v>41</v>
      </c>
      <c r="D88">
        <v>1</v>
      </c>
      <c r="E88" s="5" t="s">
        <v>383</v>
      </c>
      <c r="F88" s="5" t="s">
        <v>417</v>
      </c>
      <c r="G88" s="4">
        <v>46143</v>
      </c>
      <c r="H88" s="5">
        <f t="shared" ref="H88:H111" si="40">D88*E88</f>
        <v>83000</v>
      </c>
      <c r="I88" s="5">
        <f t="shared" ref="I88:I111" si="41">D88*F88</f>
        <v>47000</v>
      </c>
      <c r="J88" s="5">
        <f t="shared" ref="J88:J111" si="42">H88-I88</f>
        <v>36000</v>
      </c>
      <c r="K88" s="8">
        <f t="shared" ref="K88:K111" si="43">J88/H88</f>
        <v>0.43373493975903615</v>
      </c>
    </row>
    <row r="89" spans="1:11" x14ac:dyDescent="0.3">
      <c r="A89">
        <v>88</v>
      </c>
      <c r="B89" t="s">
        <v>137</v>
      </c>
      <c r="C89" t="s">
        <v>138</v>
      </c>
      <c r="D89">
        <v>1</v>
      </c>
      <c r="E89" s="5" t="s">
        <v>359</v>
      </c>
      <c r="F89" s="5" t="s">
        <v>468</v>
      </c>
      <c r="G89" s="4">
        <v>45825</v>
      </c>
      <c r="H89" s="5">
        <f t="shared" si="40"/>
        <v>239000</v>
      </c>
      <c r="I89" s="5">
        <f t="shared" si="41"/>
        <v>160000</v>
      </c>
      <c r="J89" s="5">
        <f t="shared" si="42"/>
        <v>79000</v>
      </c>
      <c r="K89" s="8">
        <f t="shared" si="43"/>
        <v>0.33054393305439328</v>
      </c>
    </row>
    <row r="90" spans="1:11" x14ac:dyDescent="0.3">
      <c r="A90">
        <v>89</v>
      </c>
      <c r="B90" t="s">
        <v>139</v>
      </c>
      <c r="C90" t="s">
        <v>50</v>
      </c>
      <c r="D90">
        <v>1</v>
      </c>
      <c r="E90" s="5" t="s">
        <v>140</v>
      </c>
      <c r="F90" s="5" t="s">
        <v>396</v>
      </c>
      <c r="G90" s="4">
        <v>45898</v>
      </c>
      <c r="H90" s="5">
        <f t="shared" si="40"/>
        <v>107000</v>
      </c>
      <c r="I90" s="5">
        <f t="shared" si="41"/>
        <v>75000</v>
      </c>
      <c r="J90" s="5">
        <f t="shared" si="42"/>
        <v>32000</v>
      </c>
      <c r="K90" s="8">
        <f t="shared" si="43"/>
        <v>0.29906542056074764</v>
      </c>
    </row>
    <row r="91" spans="1:11" x14ac:dyDescent="0.3">
      <c r="A91">
        <v>90</v>
      </c>
      <c r="B91" t="s">
        <v>297</v>
      </c>
      <c r="C91" t="s">
        <v>50</v>
      </c>
      <c r="D91">
        <v>1</v>
      </c>
      <c r="E91" s="5" t="s">
        <v>369</v>
      </c>
      <c r="F91" s="5" t="s">
        <v>344</v>
      </c>
      <c r="G91" s="4">
        <v>46179</v>
      </c>
      <c r="H91" s="5">
        <f t="shared" si="40"/>
        <v>91000</v>
      </c>
      <c r="I91" s="5">
        <f t="shared" si="41"/>
        <v>54000</v>
      </c>
      <c r="J91" s="5">
        <f t="shared" si="42"/>
        <v>37000</v>
      </c>
      <c r="K91" s="8">
        <f t="shared" si="43"/>
        <v>0.40659340659340659</v>
      </c>
    </row>
    <row r="92" spans="1:11" x14ac:dyDescent="0.3">
      <c r="A92">
        <v>91</v>
      </c>
      <c r="B92" t="s">
        <v>142</v>
      </c>
      <c r="C92" t="s">
        <v>143</v>
      </c>
      <c r="D92">
        <v>1</v>
      </c>
      <c r="E92" s="5" t="s">
        <v>144</v>
      </c>
      <c r="F92" s="5" t="s">
        <v>356</v>
      </c>
      <c r="G92" s="4">
        <v>45854</v>
      </c>
      <c r="H92" s="5">
        <f t="shared" si="40"/>
        <v>80000</v>
      </c>
      <c r="I92" s="5">
        <f t="shared" si="41"/>
        <v>49000</v>
      </c>
      <c r="J92" s="5">
        <f t="shared" si="42"/>
        <v>31000</v>
      </c>
      <c r="K92" s="8">
        <f t="shared" si="43"/>
        <v>0.38750000000000001</v>
      </c>
    </row>
    <row r="93" spans="1:11" x14ac:dyDescent="0.3">
      <c r="A93">
        <v>92</v>
      </c>
      <c r="B93" t="s">
        <v>298</v>
      </c>
      <c r="C93" t="s">
        <v>8</v>
      </c>
      <c r="D93">
        <v>1</v>
      </c>
      <c r="E93" s="5" t="s">
        <v>384</v>
      </c>
      <c r="F93" s="5" t="s">
        <v>382</v>
      </c>
      <c r="G93" s="4">
        <v>46244</v>
      </c>
      <c r="H93" s="5">
        <f t="shared" si="40"/>
        <v>233000</v>
      </c>
      <c r="I93" s="5">
        <f t="shared" si="41"/>
        <v>164000</v>
      </c>
      <c r="J93" s="5">
        <f t="shared" si="42"/>
        <v>69000</v>
      </c>
      <c r="K93" s="8">
        <f t="shared" si="43"/>
        <v>0.29613733905579398</v>
      </c>
    </row>
    <row r="94" spans="1:11" x14ac:dyDescent="0.3">
      <c r="A94">
        <v>93</v>
      </c>
      <c r="B94" t="s">
        <v>147</v>
      </c>
      <c r="C94" t="s">
        <v>29</v>
      </c>
      <c r="D94">
        <v>1</v>
      </c>
      <c r="E94" s="5" t="s">
        <v>342</v>
      </c>
      <c r="F94" s="5" t="s">
        <v>469</v>
      </c>
      <c r="G94" s="4">
        <v>46046</v>
      </c>
      <c r="H94" s="5">
        <f t="shared" si="40"/>
        <v>45000</v>
      </c>
      <c r="I94" s="5">
        <f t="shared" si="41"/>
        <v>24000</v>
      </c>
      <c r="J94" s="5">
        <f t="shared" si="42"/>
        <v>21000</v>
      </c>
      <c r="K94" s="8">
        <f t="shared" si="43"/>
        <v>0.46666666666666667</v>
      </c>
    </row>
    <row r="95" spans="1:11" x14ac:dyDescent="0.3">
      <c r="A95">
        <v>94</v>
      </c>
      <c r="B95" t="s">
        <v>33</v>
      </c>
      <c r="C95" t="s">
        <v>50</v>
      </c>
      <c r="D95">
        <v>1</v>
      </c>
      <c r="E95" s="5" t="s">
        <v>385</v>
      </c>
      <c r="F95" s="5" t="s">
        <v>386</v>
      </c>
      <c r="G95" s="4">
        <v>45946</v>
      </c>
      <c r="H95" s="5">
        <f t="shared" si="40"/>
        <v>106000</v>
      </c>
      <c r="I95" s="5">
        <f t="shared" si="41"/>
        <v>77000</v>
      </c>
      <c r="J95" s="5">
        <f t="shared" si="42"/>
        <v>29000</v>
      </c>
      <c r="K95" s="8">
        <f t="shared" si="43"/>
        <v>0.27358490566037735</v>
      </c>
    </row>
    <row r="96" spans="1:11" x14ac:dyDescent="0.3">
      <c r="A96">
        <v>95</v>
      </c>
      <c r="B96" t="s">
        <v>149</v>
      </c>
      <c r="C96" t="s">
        <v>14</v>
      </c>
      <c r="D96">
        <v>2</v>
      </c>
      <c r="E96" s="5" t="s">
        <v>331</v>
      </c>
      <c r="F96" s="5" t="s">
        <v>348</v>
      </c>
      <c r="G96" s="4">
        <v>45998</v>
      </c>
      <c r="H96" s="5">
        <f t="shared" si="40"/>
        <v>176000</v>
      </c>
      <c r="I96" s="5">
        <f t="shared" si="41"/>
        <v>122000</v>
      </c>
      <c r="J96" s="5">
        <f t="shared" si="42"/>
        <v>54000</v>
      </c>
      <c r="K96" s="8">
        <f t="shared" si="43"/>
        <v>0.30681818181818182</v>
      </c>
    </row>
    <row r="97" spans="1:11" x14ac:dyDescent="0.3">
      <c r="A97">
        <v>96</v>
      </c>
      <c r="B97" t="s">
        <v>151</v>
      </c>
      <c r="C97" t="s">
        <v>41</v>
      </c>
      <c r="D97">
        <v>1</v>
      </c>
      <c r="E97" s="5" t="s">
        <v>386</v>
      </c>
      <c r="F97" s="5" t="s">
        <v>342</v>
      </c>
      <c r="G97" s="4">
        <v>45713</v>
      </c>
      <c r="H97" s="5">
        <f t="shared" si="40"/>
        <v>77000</v>
      </c>
      <c r="I97" s="5">
        <f t="shared" si="41"/>
        <v>45000</v>
      </c>
      <c r="J97" s="5">
        <f t="shared" si="42"/>
        <v>32000</v>
      </c>
      <c r="K97" s="8">
        <f t="shared" si="43"/>
        <v>0.41558441558441561</v>
      </c>
    </row>
    <row r="98" spans="1:11" x14ac:dyDescent="0.3">
      <c r="A98">
        <v>97</v>
      </c>
      <c r="B98" t="s">
        <v>152</v>
      </c>
      <c r="C98" t="s">
        <v>89</v>
      </c>
      <c r="D98">
        <v>1</v>
      </c>
      <c r="E98" s="5" t="s">
        <v>387</v>
      </c>
      <c r="F98" s="5" t="s">
        <v>470</v>
      </c>
      <c r="G98" s="4">
        <v>46214</v>
      </c>
      <c r="H98" s="5">
        <f t="shared" si="40"/>
        <v>173000</v>
      </c>
      <c r="I98" s="5">
        <f t="shared" si="41"/>
        <v>121000</v>
      </c>
      <c r="J98" s="5">
        <f t="shared" si="42"/>
        <v>52000</v>
      </c>
      <c r="K98" s="8">
        <f t="shared" si="43"/>
        <v>0.30057803468208094</v>
      </c>
    </row>
    <row r="99" spans="1:11" x14ac:dyDescent="0.3">
      <c r="A99">
        <v>98</v>
      </c>
      <c r="B99" t="s">
        <v>299</v>
      </c>
      <c r="C99" t="s">
        <v>58</v>
      </c>
      <c r="D99">
        <v>1</v>
      </c>
      <c r="E99" s="5" t="s">
        <v>154</v>
      </c>
      <c r="F99" s="5" t="s">
        <v>155</v>
      </c>
      <c r="G99" s="4">
        <v>46194</v>
      </c>
      <c r="H99" s="5">
        <f t="shared" si="40"/>
        <v>36000</v>
      </c>
      <c r="I99" s="5">
        <f t="shared" si="41"/>
        <v>26000</v>
      </c>
      <c r="J99" s="5">
        <f t="shared" si="42"/>
        <v>10000</v>
      </c>
      <c r="K99" s="8">
        <f t="shared" si="43"/>
        <v>0.27777777777777779</v>
      </c>
    </row>
    <row r="100" spans="1:11" x14ac:dyDescent="0.3">
      <c r="A100">
        <v>99</v>
      </c>
      <c r="B100" t="s">
        <v>156</v>
      </c>
      <c r="C100" t="s">
        <v>29</v>
      </c>
      <c r="D100">
        <v>3</v>
      </c>
      <c r="E100" s="5" t="s">
        <v>375</v>
      </c>
      <c r="F100" s="5" t="s">
        <v>448</v>
      </c>
      <c r="G100" s="4">
        <v>46202</v>
      </c>
      <c r="H100" s="5">
        <f t="shared" si="40"/>
        <v>129000</v>
      </c>
      <c r="I100" s="5">
        <f t="shared" si="41"/>
        <v>78000</v>
      </c>
      <c r="J100" s="5">
        <f t="shared" si="42"/>
        <v>51000</v>
      </c>
      <c r="K100" s="8">
        <f t="shared" si="43"/>
        <v>0.39534883720930231</v>
      </c>
    </row>
    <row r="101" spans="1:11" x14ac:dyDescent="0.3">
      <c r="A101">
        <v>100</v>
      </c>
      <c r="B101" t="s">
        <v>157</v>
      </c>
      <c r="C101" t="s">
        <v>26</v>
      </c>
      <c r="D101">
        <v>2</v>
      </c>
      <c r="E101" s="5" t="s">
        <v>353</v>
      </c>
      <c r="F101" s="5" t="s">
        <v>323</v>
      </c>
      <c r="G101" s="4">
        <v>46169</v>
      </c>
      <c r="H101" s="5">
        <f t="shared" si="40"/>
        <v>12000</v>
      </c>
      <c r="I101" s="5">
        <f t="shared" si="41"/>
        <v>8000</v>
      </c>
      <c r="J101" s="5">
        <f t="shared" si="42"/>
        <v>4000</v>
      </c>
      <c r="K101" s="8">
        <f t="shared" si="43"/>
        <v>0.33333333333333331</v>
      </c>
    </row>
    <row r="102" spans="1:11" x14ac:dyDescent="0.3">
      <c r="A102">
        <v>101</v>
      </c>
      <c r="B102" t="s">
        <v>96</v>
      </c>
      <c r="C102" t="s">
        <v>29</v>
      </c>
      <c r="D102">
        <v>1</v>
      </c>
      <c r="E102" s="5" t="s">
        <v>340</v>
      </c>
      <c r="F102" s="5" t="s">
        <v>446</v>
      </c>
      <c r="G102" s="4">
        <v>46051</v>
      </c>
      <c r="H102" s="5">
        <f t="shared" si="40"/>
        <v>73000</v>
      </c>
      <c r="I102" s="5">
        <f t="shared" si="41"/>
        <v>46000</v>
      </c>
      <c r="J102" s="5">
        <f t="shared" si="42"/>
        <v>27000</v>
      </c>
      <c r="K102" s="8">
        <f t="shared" si="43"/>
        <v>0.36986301369863012</v>
      </c>
    </row>
    <row r="103" spans="1:11" x14ac:dyDescent="0.3">
      <c r="A103">
        <v>102</v>
      </c>
      <c r="B103" t="s">
        <v>158</v>
      </c>
      <c r="C103" t="s">
        <v>19</v>
      </c>
      <c r="D103">
        <v>1</v>
      </c>
      <c r="E103" s="5" t="s">
        <v>388</v>
      </c>
      <c r="F103" s="5" t="s">
        <v>471</v>
      </c>
      <c r="G103" s="4">
        <v>45722</v>
      </c>
      <c r="H103" s="5">
        <f t="shared" si="40"/>
        <v>50000</v>
      </c>
      <c r="I103" s="5">
        <f t="shared" si="41"/>
        <v>37000</v>
      </c>
      <c r="J103" s="5">
        <f t="shared" si="42"/>
        <v>13000</v>
      </c>
      <c r="K103" s="8">
        <f t="shared" si="43"/>
        <v>0.26</v>
      </c>
    </row>
    <row r="104" spans="1:11" x14ac:dyDescent="0.3">
      <c r="A104">
        <v>103</v>
      </c>
      <c r="B104" t="s">
        <v>54</v>
      </c>
      <c r="C104" t="s">
        <v>89</v>
      </c>
      <c r="D104">
        <v>1</v>
      </c>
      <c r="E104" s="5" t="s">
        <v>389</v>
      </c>
      <c r="F104" s="5" t="s">
        <v>472</v>
      </c>
      <c r="G104" s="4">
        <v>46067</v>
      </c>
      <c r="H104" s="5">
        <f t="shared" si="40"/>
        <v>157000</v>
      </c>
      <c r="I104" s="5">
        <f t="shared" si="41"/>
        <v>87000</v>
      </c>
      <c r="J104" s="5">
        <f t="shared" si="42"/>
        <v>70000</v>
      </c>
      <c r="K104" s="8">
        <f t="shared" si="43"/>
        <v>0.44585987261146498</v>
      </c>
    </row>
    <row r="105" spans="1:11" x14ac:dyDescent="0.3">
      <c r="A105">
        <v>104</v>
      </c>
      <c r="B105" t="s">
        <v>160</v>
      </c>
      <c r="C105" t="s">
        <v>29</v>
      </c>
      <c r="D105">
        <v>1</v>
      </c>
      <c r="E105" s="5" t="s">
        <v>319</v>
      </c>
      <c r="F105" s="5" t="s">
        <v>375</v>
      </c>
      <c r="G105" s="4">
        <v>45864</v>
      </c>
      <c r="H105" s="5">
        <f t="shared" si="40"/>
        <v>76000</v>
      </c>
      <c r="I105" s="5">
        <f t="shared" si="41"/>
        <v>43000</v>
      </c>
      <c r="J105" s="5">
        <f t="shared" si="42"/>
        <v>33000</v>
      </c>
      <c r="K105" s="8">
        <f t="shared" si="43"/>
        <v>0.43421052631578949</v>
      </c>
    </row>
    <row r="106" spans="1:11" x14ac:dyDescent="0.3">
      <c r="A106">
        <v>105</v>
      </c>
      <c r="B106" t="s">
        <v>129</v>
      </c>
      <c r="C106" t="s">
        <v>52</v>
      </c>
      <c r="D106">
        <v>1</v>
      </c>
      <c r="E106" s="5" t="s">
        <v>390</v>
      </c>
      <c r="F106" s="5" t="s">
        <v>439</v>
      </c>
      <c r="G106" s="4">
        <v>45872</v>
      </c>
      <c r="H106" s="5">
        <f t="shared" si="40"/>
        <v>51000</v>
      </c>
      <c r="I106" s="5">
        <f t="shared" si="41"/>
        <v>27000</v>
      </c>
      <c r="J106" s="5">
        <f t="shared" si="42"/>
        <v>24000</v>
      </c>
      <c r="K106" s="8">
        <f t="shared" si="43"/>
        <v>0.47058823529411764</v>
      </c>
    </row>
    <row r="107" spans="1:11" x14ac:dyDescent="0.3">
      <c r="A107">
        <v>106</v>
      </c>
      <c r="B107" t="s">
        <v>162</v>
      </c>
      <c r="C107" t="s">
        <v>138</v>
      </c>
      <c r="D107">
        <v>1</v>
      </c>
      <c r="E107" s="5" t="s">
        <v>391</v>
      </c>
      <c r="F107" s="5" t="s">
        <v>345</v>
      </c>
      <c r="G107" s="4">
        <v>45900</v>
      </c>
      <c r="H107" s="5">
        <f t="shared" si="40"/>
        <v>117000</v>
      </c>
      <c r="I107" s="5">
        <f t="shared" si="41"/>
        <v>90000</v>
      </c>
      <c r="J107" s="5">
        <f t="shared" si="42"/>
        <v>27000</v>
      </c>
      <c r="K107" s="8">
        <f t="shared" si="43"/>
        <v>0.23076923076923078</v>
      </c>
    </row>
    <row r="108" spans="1:11" x14ac:dyDescent="0.3">
      <c r="A108">
        <v>107</v>
      </c>
      <c r="B108" t="s">
        <v>163</v>
      </c>
      <c r="C108" t="s">
        <v>308</v>
      </c>
      <c r="D108">
        <v>1</v>
      </c>
      <c r="E108" s="5" t="s">
        <v>392</v>
      </c>
      <c r="F108" s="5" t="s">
        <v>343</v>
      </c>
      <c r="G108" s="4">
        <v>46146</v>
      </c>
      <c r="H108" s="5">
        <f t="shared" si="40"/>
        <v>181000</v>
      </c>
      <c r="I108" s="5">
        <f t="shared" si="41"/>
        <v>110000</v>
      </c>
      <c r="J108" s="5">
        <f t="shared" si="42"/>
        <v>71000</v>
      </c>
      <c r="K108" s="8">
        <f t="shared" si="43"/>
        <v>0.39226519337016574</v>
      </c>
    </row>
    <row r="109" spans="1:11" x14ac:dyDescent="0.3">
      <c r="A109">
        <v>108</v>
      </c>
      <c r="B109" t="s">
        <v>135</v>
      </c>
      <c r="C109" t="s">
        <v>29</v>
      </c>
      <c r="D109">
        <v>1</v>
      </c>
      <c r="E109" s="5" t="s">
        <v>380</v>
      </c>
      <c r="F109" s="5" t="s">
        <v>446</v>
      </c>
      <c r="G109" s="4">
        <v>45795</v>
      </c>
      <c r="H109" s="5">
        <f t="shared" si="40"/>
        <v>85000</v>
      </c>
      <c r="I109" s="5">
        <f t="shared" si="41"/>
        <v>46000</v>
      </c>
      <c r="J109" s="5">
        <f t="shared" si="42"/>
        <v>39000</v>
      </c>
      <c r="K109" s="8">
        <f t="shared" si="43"/>
        <v>0.45882352941176469</v>
      </c>
    </row>
    <row r="110" spans="1:11" x14ac:dyDescent="0.3">
      <c r="A110">
        <v>109</v>
      </c>
      <c r="B110" t="s">
        <v>300</v>
      </c>
      <c r="C110" t="s">
        <v>143</v>
      </c>
      <c r="D110">
        <v>2</v>
      </c>
      <c r="E110" s="5" t="s">
        <v>337</v>
      </c>
      <c r="F110" s="5" t="s">
        <v>327</v>
      </c>
      <c r="G110" s="4">
        <v>46072</v>
      </c>
      <c r="H110" s="5">
        <f t="shared" si="40"/>
        <v>252000</v>
      </c>
      <c r="I110" s="5">
        <f t="shared" si="41"/>
        <v>190000</v>
      </c>
      <c r="J110" s="5">
        <f t="shared" si="42"/>
        <v>62000</v>
      </c>
      <c r="K110" s="8">
        <f t="shared" si="43"/>
        <v>0.24603174603174602</v>
      </c>
    </row>
    <row r="111" spans="1:11" x14ac:dyDescent="0.3">
      <c r="A111">
        <v>110</v>
      </c>
      <c r="B111" t="s">
        <v>166</v>
      </c>
      <c r="C111" t="s">
        <v>8</v>
      </c>
      <c r="D111">
        <v>2</v>
      </c>
      <c r="E111" s="5" t="s">
        <v>393</v>
      </c>
      <c r="F111" s="5" t="s">
        <v>424</v>
      </c>
      <c r="G111" s="4">
        <v>45832</v>
      </c>
      <c r="H111" s="5">
        <f t="shared" si="40"/>
        <v>290000</v>
      </c>
      <c r="I111" s="5">
        <f t="shared" si="41"/>
        <v>168000</v>
      </c>
      <c r="J111" s="5">
        <f t="shared" si="42"/>
        <v>122000</v>
      </c>
      <c r="K111" s="8">
        <f t="shared" si="43"/>
        <v>0.4206896551724138</v>
      </c>
    </row>
    <row r="112" spans="1:11" hidden="1" x14ac:dyDescent="0.3">
      <c r="A112">
        <v>111</v>
      </c>
      <c r="B112" t="s">
        <v>167</v>
      </c>
      <c r="C112" t="s">
        <v>89</v>
      </c>
      <c r="D112">
        <v>1</v>
      </c>
      <c r="E112" s="5" t="s">
        <v>168</v>
      </c>
      <c r="F112" s="5" t="s">
        <v>169</v>
      </c>
    </row>
    <row r="113" spans="1:11" x14ac:dyDescent="0.3">
      <c r="A113">
        <v>112</v>
      </c>
      <c r="B113" t="s">
        <v>170</v>
      </c>
      <c r="C113" t="s">
        <v>143</v>
      </c>
      <c r="D113">
        <v>1</v>
      </c>
      <c r="E113" s="5" t="s">
        <v>360</v>
      </c>
      <c r="F113" s="5" t="s">
        <v>361</v>
      </c>
      <c r="G113" s="4">
        <v>45757</v>
      </c>
      <c r="H113" s="5">
        <f t="shared" ref="H113:H115" si="44">D113*E113</f>
        <v>189000</v>
      </c>
      <c r="I113" s="5">
        <f t="shared" ref="I113:I115" si="45">D113*F113</f>
        <v>120000</v>
      </c>
      <c r="J113" s="5">
        <f t="shared" ref="J113:J115" si="46">H113-I113</f>
        <v>69000</v>
      </c>
      <c r="K113" s="8">
        <f t="shared" ref="K113:K115" si="47">J113/H113</f>
        <v>0.36507936507936506</v>
      </c>
    </row>
    <row r="114" spans="1:11" x14ac:dyDescent="0.3">
      <c r="A114">
        <v>113</v>
      </c>
      <c r="B114" t="s">
        <v>197</v>
      </c>
      <c r="C114" t="s">
        <v>16</v>
      </c>
      <c r="D114">
        <v>1</v>
      </c>
      <c r="E114" s="5" t="s">
        <v>394</v>
      </c>
      <c r="F114" s="5" t="s">
        <v>473</v>
      </c>
      <c r="G114" s="4">
        <v>45878</v>
      </c>
      <c r="H114" s="5">
        <f t="shared" si="44"/>
        <v>306000</v>
      </c>
      <c r="I114" s="5">
        <f t="shared" si="45"/>
        <v>162000</v>
      </c>
      <c r="J114" s="5">
        <f t="shared" si="46"/>
        <v>144000</v>
      </c>
      <c r="K114" s="8">
        <f t="shared" si="47"/>
        <v>0.47058823529411764</v>
      </c>
    </row>
    <row r="115" spans="1:11" x14ac:dyDescent="0.3">
      <c r="A115">
        <v>114</v>
      </c>
      <c r="B115" t="s">
        <v>172</v>
      </c>
      <c r="C115" t="s">
        <v>41</v>
      </c>
      <c r="D115">
        <v>1</v>
      </c>
      <c r="E115" s="5" t="s">
        <v>173</v>
      </c>
      <c r="F115" s="5" t="s">
        <v>416</v>
      </c>
      <c r="G115" s="4">
        <v>46170</v>
      </c>
      <c r="H115" s="5">
        <f t="shared" si="44"/>
        <v>82000</v>
      </c>
      <c r="I115" s="5">
        <f t="shared" si="45"/>
        <v>56000</v>
      </c>
      <c r="J115" s="5">
        <f t="shared" si="46"/>
        <v>26000</v>
      </c>
      <c r="K115" s="8">
        <f t="shared" si="47"/>
        <v>0.31707317073170732</v>
      </c>
    </row>
    <row r="116" spans="1:11" hidden="1" x14ac:dyDescent="0.3">
      <c r="A116">
        <v>115</v>
      </c>
      <c r="B116" t="s">
        <v>290</v>
      </c>
      <c r="C116" t="s">
        <v>14</v>
      </c>
      <c r="D116">
        <v>3</v>
      </c>
      <c r="E116" s="5" t="s">
        <v>374</v>
      </c>
      <c r="F116" s="5" t="s">
        <v>474</v>
      </c>
      <c r="G116" s="4">
        <v>45918</v>
      </c>
    </row>
    <row r="117" spans="1:11" hidden="1" x14ac:dyDescent="0.3">
      <c r="A117">
        <v>116</v>
      </c>
      <c r="B117" t="s">
        <v>290</v>
      </c>
      <c r="C117" t="s">
        <v>89</v>
      </c>
      <c r="D117">
        <v>2</v>
      </c>
      <c r="E117" s="5" t="s">
        <v>395</v>
      </c>
      <c r="F117" s="5" t="s">
        <v>475</v>
      </c>
      <c r="G117" s="4">
        <v>46201</v>
      </c>
    </row>
    <row r="118" spans="1:11" hidden="1" x14ac:dyDescent="0.3">
      <c r="A118">
        <v>117</v>
      </c>
      <c r="B118" t="s">
        <v>290</v>
      </c>
      <c r="C118" t="s">
        <v>50</v>
      </c>
      <c r="D118">
        <v>1</v>
      </c>
      <c r="E118" s="5" t="s">
        <v>396</v>
      </c>
      <c r="F118" s="5" t="s">
        <v>476</v>
      </c>
      <c r="G118" s="4">
        <v>45664</v>
      </c>
    </row>
    <row r="119" spans="1:11" x14ac:dyDescent="0.3">
      <c r="A119">
        <v>118</v>
      </c>
      <c r="B119" t="s">
        <v>71</v>
      </c>
      <c r="C119" t="s">
        <v>80</v>
      </c>
      <c r="D119">
        <v>1</v>
      </c>
      <c r="E119" s="5" t="s">
        <v>397</v>
      </c>
      <c r="F119" s="5" t="s">
        <v>396</v>
      </c>
      <c r="G119" s="4">
        <v>45936</v>
      </c>
      <c r="H119" s="5">
        <f t="shared" ref="H119:H158" si="48">D119*E119</f>
        <v>104000</v>
      </c>
      <c r="I119" s="5">
        <f t="shared" ref="I119:I158" si="49">D119*F119</f>
        <v>75000</v>
      </c>
      <c r="J119" s="5">
        <f t="shared" ref="J119:J158" si="50">H119-I119</f>
        <v>29000</v>
      </c>
      <c r="K119" s="8">
        <f t="shared" ref="K119:K158" si="51">J119/H119</f>
        <v>0.27884615384615385</v>
      </c>
    </row>
    <row r="120" spans="1:11" x14ac:dyDescent="0.3">
      <c r="A120">
        <v>119</v>
      </c>
      <c r="B120" t="s">
        <v>174</v>
      </c>
      <c r="C120" t="s">
        <v>19</v>
      </c>
      <c r="D120">
        <v>3</v>
      </c>
      <c r="E120" s="5" t="s">
        <v>398</v>
      </c>
      <c r="F120" s="5" t="s">
        <v>474</v>
      </c>
      <c r="G120" s="4">
        <v>46034</v>
      </c>
      <c r="H120" s="5">
        <f t="shared" si="48"/>
        <v>207000</v>
      </c>
      <c r="I120" s="5">
        <f t="shared" si="49"/>
        <v>123000</v>
      </c>
      <c r="J120" s="5">
        <f t="shared" si="50"/>
        <v>84000</v>
      </c>
      <c r="K120" s="8">
        <f t="shared" si="51"/>
        <v>0.40579710144927539</v>
      </c>
    </row>
    <row r="121" spans="1:11" x14ac:dyDescent="0.3">
      <c r="A121">
        <v>120</v>
      </c>
      <c r="B121" t="s">
        <v>175</v>
      </c>
      <c r="C121" t="s">
        <v>50</v>
      </c>
      <c r="D121">
        <v>2</v>
      </c>
      <c r="E121" s="5" t="s">
        <v>399</v>
      </c>
      <c r="F121" s="5" t="s">
        <v>177</v>
      </c>
      <c r="G121" s="4">
        <v>45956</v>
      </c>
      <c r="H121" s="5">
        <f t="shared" si="48"/>
        <v>194000</v>
      </c>
      <c r="I121" s="5">
        <f t="shared" si="49"/>
        <v>128000</v>
      </c>
      <c r="J121" s="5">
        <f t="shared" si="50"/>
        <v>66000</v>
      </c>
      <c r="K121" s="8">
        <f t="shared" si="51"/>
        <v>0.34020618556701032</v>
      </c>
    </row>
    <row r="122" spans="1:11" x14ac:dyDescent="0.3">
      <c r="A122">
        <v>121</v>
      </c>
      <c r="B122" t="s">
        <v>178</v>
      </c>
      <c r="C122" t="s">
        <v>143</v>
      </c>
      <c r="D122">
        <v>1</v>
      </c>
      <c r="E122" s="5" t="s">
        <v>400</v>
      </c>
      <c r="F122" s="5" t="s">
        <v>372</v>
      </c>
      <c r="G122" s="4">
        <v>45886</v>
      </c>
      <c r="H122" s="5">
        <f t="shared" si="48"/>
        <v>116000</v>
      </c>
      <c r="I122" s="5">
        <f t="shared" si="49"/>
        <v>67000</v>
      </c>
      <c r="J122" s="5">
        <f t="shared" si="50"/>
        <v>49000</v>
      </c>
      <c r="K122" s="8">
        <f t="shared" si="51"/>
        <v>0.42241379310344829</v>
      </c>
    </row>
    <row r="123" spans="1:11" x14ac:dyDescent="0.3">
      <c r="A123">
        <v>122</v>
      </c>
      <c r="B123" t="s">
        <v>180</v>
      </c>
      <c r="C123" t="s">
        <v>14</v>
      </c>
      <c r="D123">
        <v>1</v>
      </c>
      <c r="E123" s="5" t="s">
        <v>358</v>
      </c>
      <c r="F123" s="5" t="s">
        <v>454</v>
      </c>
      <c r="G123" s="4">
        <v>45772</v>
      </c>
      <c r="H123" s="5">
        <f t="shared" si="48"/>
        <v>58000</v>
      </c>
      <c r="I123" s="5">
        <f t="shared" si="49"/>
        <v>44000</v>
      </c>
      <c r="J123" s="5">
        <f t="shared" si="50"/>
        <v>14000</v>
      </c>
      <c r="K123" s="8">
        <f t="shared" si="51"/>
        <v>0.2413793103448276</v>
      </c>
    </row>
    <row r="124" spans="1:11" x14ac:dyDescent="0.3">
      <c r="A124">
        <v>123</v>
      </c>
      <c r="B124" t="s">
        <v>181</v>
      </c>
      <c r="C124" t="s">
        <v>80</v>
      </c>
      <c r="D124">
        <v>1</v>
      </c>
      <c r="E124" s="5" t="s">
        <v>352</v>
      </c>
      <c r="F124" s="5" t="s">
        <v>416</v>
      </c>
      <c r="G124" s="4">
        <v>46220</v>
      </c>
      <c r="H124" s="5">
        <f t="shared" si="48"/>
        <v>96000</v>
      </c>
      <c r="I124" s="5">
        <f t="shared" si="49"/>
        <v>56000</v>
      </c>
      <c r="J124" s="5">
        <f t="shared" si="50"/>
        <v>40000</v>
      </c>
      <c r="K124" s="8">
        <f t="shared" si="51"/>
        <v>0.41666666666666669</v>
      </c>
    </row>
    <row r="125" spans="1:11" x14ac:dyDescent="0.3">
      <c r="A125">
        <v>124</v>
      </c>
      <c r="B125" t="s">
        <v>182</v>
      </c>
      <c r="C125" t="s">
        <v>58</v>
      </c>
      <c r="D125">
        <v>1</v>
      </c>
      <c r="E125" s="5" t="s">
        <v>401</v>
      </c>
      <c r="F125" s="5" t="s">
        <v>467</v>
      </c>
      <c r="G125" s="4">
        <v>45807</v>
      </c>
      <c r="H125" s="5">
        <f t="shared" si="48"/>
        <v>23000</v>
      </c>
      <c r="I125" s="5">
        <f t="shared" si="49"/>
        <v>13000</v>
      </c>
      <c r="J125" s="5">
        <f t="shared" si="50"/>
        <v>10000</v>
      </c>
      <c r="K125" s="8">
        <f t="shared" si="51"/>
        <v>0.43478260869565216</v>
      </c>
    </row>
    <row r="126" spans="1:11" x14ac:dyDescent="0.3">
      <c r="A126">
        <v>125</v>
      </c>
      <c r="B126" t="s">
        <v>301</v>
      </c>
      <c r="C126" t="s">
        <v>58</v>
      </c>
      <c r="D126">
        <v>3</v>
      </c>
      <c r="E126" s="5" t="s">
        <v>402</v>
      </c>
      <c r="F126" s="5" t="s">
        <v>477</v>
      </c>
      <c r="G126" s="4">
        <v>45714</v>
      </c>
      <c r="H126" s="5">
        <f t="shared" si="48"/>
        <v>63000</v>
      </c>
      <c r="I126" s="5">
        <f t="shared" si="49"/>
        <v>42000</v>
      </c>
      <c r="J126" s="5">
        <f t="shared" si="50"/>
        <v>21000</v>
      </c>
      <c r="K126" s="8">
        <f t="shared" si="51"/>
        <v>0.33333333333333331</v>
      </c>
    </row>
    <row r="127" spans="1:11" x14ac:dyDescent="0.3">
      <c r="A127">
        <v>126</v>
      </c>
      <c r="B127" t="s">
        <v>185</v>
      </c>
      <c r="C127" t="s">
        <v>14</v>
      </c>
      <c r="D127">
        <v>1</v>
      </c>
      <c r="E127" s="5" t="s">
        <v>329</v>
      </c>
      <c r="F127" s="5" t="s">
        <v>417</v>
      </c>
      <c r="G127" s="4">
        <v>45813</v>
      </c>
      <c r="H127" s="5">
        <f t="shared" si="48"/>
        <v>79000</v>
      </c>
      <c r="I127" s="5">
        <f t="shared" si="49"/>
        <v>47000</v>
      </c>
      <c r="J127" s="5">
        <f t="shared" si="50"/>
        <v>32000</v>
      </c>
      <c r="K127" s="8">
        <f t="shared" si="51"/>
        <v>0.4050632911392405</v>
      </c>
    </row>
    <row r="128" spans="1:11" x14ac:dyDescent="0.3">
      <c r="A128">
        <v>127</v>
      </c>
      <c r="B128" t="s">
        <v>186</v>
      </c>
      <c r="C128" t="s">
        <v>80</v>
      </c>
      <c r="D128">
        <v>3</v>
      </c>
      <c r="E128" s="5" t="s">
        <v>187</v>
      </c>
      <c r="F128" s="5" t="s">
        <v>331</v>
      </c>
      <c r="G128" s="4">
        <v>45780</v>
      </c>
      <c r="H128" s="5">
        <f t="shared" si="48"/>
        <v>357000</v>
      </c>
      <c r="I128" s="5">
        <f t="shared" si="49"/>
        <v>264000</v>
      </c>
      <c r="J128" s="5">
        <f t="shared" si="50"/>
        <v>93000</v>
      </c>
      <c r="K128" s="8">
        <f t="shared" si="51"/>
        <v>0.26050420168067229</v>
      </c>
    </row>
    <row r="129" spans="1:11" x14ac:dyDescent="0.3">
      <c r="A129">
        <v>128</v>
      </c>
      <c r="B129" t="s">
        <v>272</v>
      </c>
      <c r="C129" t="s">
        <v>308</v>
      </c>
      <c r="D129">
        <v>2</v>
      </c>
      <c r="E129" s="5" t="s">
        <v>403</v>
      </c>
      <c r="F129" s="5" t="s">
        <v>189</v>
      </c>
      <c r="G129" s="4">
        <v>45858</v>
      </c>
      <c r="H129" s="5">
        <f t="shared" si="48"/>
        <v>428000</v>
      </c>
      <c r="I129" s="5">
        <f t="shared" si="49"/>
        <v>298000</v>
      </c>
      <c r="J129" s="5">
        <f t="shared" si="50"/>
        <v>130000</v>
      </c>
      <c r="K129" s="8">
        <f t="shared" si="51"/>
        <v>0.30373831775700932</v>
      </c>
    </row>
    <row r="130" spans="1:11" x14ac:dyDescent="0.3">
      <c r="A130">
        <v>129</v>
      </c>
      <c r="B130" t="s">
        <v>190</v>
      </c>
      <c r="C130" t="s">
        <v>16</v>
      </c>
      <c r="D130">
        <v>2</v>
      </c>
      <c r="E130" s="5" t="s">
        <v>404</v>
      </c>
      <c r="F130" s="5" t="s">
        <v>478</v>
      </c>
      <c r="G130" s="4">
        <v>45768</v>
      </c>
      <c r="H130" s="5">
        <f t="shared" si="48"/>
        <v>634000</v>
      </c>
      <c r="I130" s="5">
        <f t="shared" si="49"/>
        <v>408000</v>
      </c>
      <c r="J130" s="5">
        <f t="shared" si="50"/>
        <v>226000</v>
      </c>
      <c r="K130" s="8">
        <f t="shared" si="51"/>
        <v>0.35646687697160884</v>
      </c>
    </row>
    <row r="131" spans="1:11" x14ac:dyDescent="0.3">
      <c r="A131">
        <v>130</v>
      </c>
      <c r="B131" t="s">
        <v>192</v>
      </c>
      <c r="C131" t="s">
        <v>52</v>
      </c>
      <c r="D131">
        <v>1</v>
      </c>
      <c r="E131" s="5" t="s">
        <v>193</v>
      </c>
      <c r="F131" s="5" t="s">
        <v>318</v>
      </c>
      <c r="G131" s="4">
        <v>45706</v>
      </c>
      <c r="H131" s="5">
        <f t="shared" si="48"/>
        <v>89000</v>
      </c>
      <c r="I131" s="5">
        <f t="shared" si="49"/>
        <v>64000</v>
      </c>
      <c r="J131" s="5">
        <f t="shared" si="50"/>
        <v>25000</v>
      </c>
      <c r="K131" s="8">
        <f t="shared" si="51"/>
        <v>0.2808988764044944</v>
      </c>
    </row>
    <row r="132" spans="1:11" x14ac:dyDescent="0.3">
      <c r="A132">
        <v>131</v>
      </c>
      <c r="B132" t="s">
        <v>194</v>
      </c>
      <c r="C132" t="s">
        <v>80</v>
      </c>
      <c r="D132">
        <v>1</v>
      </c>
      <c r="E132" s="5" t="s">
        <v>405</v>
      </c>
      <c r="F132" s="5" t="s">
        <v>369</v>
      </c>
      <c r="G132" s="4">
        <v>45906</v>
      </c>
      <c r="H132" s="5">
        <f t="shared" si="48"/>
        <v>170000</v>
      </c>
      <c r="I132" s="5">
        <f t="shared" si="49"/>
        <v>91000</v>
      </c>
      <c r="J132" s="5">
        <f t="shared" si="50"/>
        <v>79000</v>
      </c>
      <c r="K132" s="8">
        <f t="shared" si="51"/>
        <v>0.46470588235294119</v>
      </c>
    </row>
    <row r="133" spans="1:11" x14ac:dyDescent="0.3">
      <c r="A133">
        <v>132</v>
      </c>
      <c r="B133" t="s">
        <v>196</v>
      </c>
      <c r="C133" t="s">
        <v>308</v>
      </c>
      <c r="D133">
        <v>1</v>
      </c>
      <c r="E133" s="5" t="s">
        <v>406</v>
      </c>
      <c r="F133" s="5" t="s">
        <v>470</v>
      </c>
      <c r="G133" s="4">
        <v>46165</v>
      </c>
      <c r="H133" s="5">
        <f t="shared" si="48"/>
        <v>223000</v>
      </c>
      <c r="I133" s="5">
        <f t="shared" si="49"/>
        <v>121000</v>
      </c>
      <c r="J133" s="5">
        <f t="shared" si="50"/>
        <v>102000</v>
      </c>
      <c r="K133" s="8">
        <f t="shared" si="51"/>
        <v>0.45739910313901344</v>
      </c>
    </row>
    <row r="134" spans="1:11" x14ac:dyDescent="0.3">
      <c r="A134">
        <v>133</v>
      </c>
      <c r="B134" t="s">
        <v>197</v>
      </c>
      <c r="C134" t="s">
        <v>52</v>
      </c>
      <c r="D134">
        <v>3</v>
      </c>
      <c r="E134" s="5" t="s">
        <v>351</v>
      </c>
      <c r="F134" s="5" t="s">
        <v>320</v>
      </c>
      <c r="G134" s="4">
        <v>45981</v>
      </c>
      <c r="H134" s="5">
        <f t="shared" si="48"/>
        <v>216000</v>
      </c>
      <c r="I134" s="5">
        <f t="shared" si="49"/>
        <v>114000</v>
      </c>
      <c r="J134" s="5">
        <f t="shared" si="50"/>
        <v>102000</v>
      </c>
      <c r="K134" s="8">
        <f t="shared" si="51"/>
        <v>0.47222222222222221</v>
      </c>
    </row>
    <row r="135" spans="1:11" x14ac:dyDescent="0.3">
      <c r="A135">
        <v>134</v>
      </c>
      <c r="B135" t="s">
        <v>198</v>
      </c>
      <c r="C135" t="s">
        <v>50</v>
      </c>
      <c r="D135">
        <v>1</v>
      </c>
      <c r="E135" s="5" t="s">
        <v>337</v>
      </c>
      <c r="F135" s="5" t="s">
        <v>372</v>
      </c>
      <c r="G135" s="4">
        <v>45779</v>
      </c>
      <c r="H135" s="5">
        <f t="shared" si="48"/>
        <v>126000</v>
      </c>
      <c r="I135" s="5">
        <f t="shared" si="49"/>
        <v>67000</v>
      </c>
      <c r="J135" s="5">
        <f t="shared" si="50"/>
        <v>59000</v>
      </c>
      <c r="K135" s="8">
        <f t="shared" si="51"/>
        <v>0.46825396825396826</v>
      </c>
    </row>
    <row r="136" spans="1:11" x14ac:dyDescent="0.3">
      <c r="A136">
        <v>135</v>
      </c>
      <c r="B136" t="s">
        <v>302</v>
      </c>
      <c r="C136" t="s">
        <v>80</v>
      </c>
      <c r="D136">
        <v>2</v>
      </c>
      <c r="E136" s="5" t="s">
        <v>316</v>
      </c>
      <c r="F136" s="5" t="s">
        <v>368</v>
      </c>
      <c r="G136" s="4">
        <v>45761</v>
      </c>
      <c r="H136" s="5">
        <f t="shared" si="48"/>
        <v>308000</v>
      </c>
      <c r="I136" s="5">
        <f t="shared" si="49"/>
        <v>186000</v>
      </c>
      <c r="J136" s="5">
        <f t="shared" si="50"/>
        <v>122000</v>
      </c>
      <c r="K136" s="8">
        <f t="shared" si="51"/>
        <v>0.39610389610389612</v>
      </c>
    </row>
    <row r="137" spans="1:11" x14ac:dyDescent="0.3">
      <c r="A137">
        <v>136</v>
      </c>
      <c r="B137" t="s">
        <v>28</v>
      </c>
      <c r="C137" t="s">
        <v>52</v>
      </c>
      <c r="D137">
        <v>2</v>
      </c>
      <c r="E137" s="5" t="s">
        <v>407</v>
      </c>
      <c r="F137" s="5" t="s">
        <v>408</v>
      </c>
      <c r="G137" s="4">
        <v>45887</v>
      </c>
      <c r="H137" s="5">
        <f t="shared" si="48"/>
        <v>196000</v>
      </c>
      <c r="I137" s="5">
        <f t="shared" si="49"/>
        <v>132000</v>
      </c>
      <c r="J137" s="5">
        <f t="shared" si="50"/>
        <v>64000</v>
      </c>
      <c r="K137" s="8">
        <f t="shared" si="51"/>
        <v>0.32653061224489793</v>
      </c>
    </row>
    <row r="138" spans="1:11" x14ac:dyDescent="0.3">
      <c r="A138">
        <v>137</v>
      </c>
      <c r="B138" t="s">
        <v>311</v>
      </c>
      <c r="C138" t="s">
        <v>202</v>
      </c>
      <c r="D138">
        <v>1</v>
      </c>
      <c r="E138" s="5" t="s">
        <v>408</v>
      </c>
      <c r="F138" s="5" t="s">
        <v>417</v>
      </c>
      <c r="G138" s="4">
        <v>46091</v>
      </c>
      <c r="H138" s="5">
        <f t="shared" si="48"/>
        <v>66000</v>
      </c>
      <c r="I138" s="5">
        <f t="shared" si="49"/>
        <v>47000</v>
      </c>
      <c r="J138" s="5">
        <f t="shared" si="50"/>
        <v>19000</v>
      </c>
      <c r="K138" s="8">
        <f t="shared" si="51"/>
        <v>0.2878787878787879</v>
      </c>
    </row>
    <row r="139" spans="1:11" x14ac:dyDescent="0.3">
      <c r="A139">
        <v>138</v>
      </c>
      <c r="B139" t="s">
        <v>312</v>
      </c>
      <c r="C139" t="s">
        <v>14</v>
      </c>
      <c r="D139">
        <v>1</v>
      </c>
      <c r="E139" s="5" t="s">
        <v>317</v>
      </c>
      <c r="F139" s="5" t="s">
        <v>424</v>
      </c>
      <c r="G139" s="4">
        <v>45729</v>
      </c>
      <c r="H139" s="5">
        <f t="shared" si="48"/>
        <v>111000</v>
      </c>
      <c r="I139" s="5">
        <f t="shared" si="49"/>
        <v>84000</v>
      </c>
      <c r="J139" s="5">
        <f t="shared" si="50"/>
        <v>27000</v>
      </c>
      <c r="K139" s="8">
        <f t="shared" si="51"/>
        <v>0.24324324324324326</v>
      </c>
    </row>
    <row r="140" spans="1:11" x14ac:dyDescent="0.3">
      <c r="A140">
        <v>139</v>
      </c>
      <c r="B140" t="s">
        <v>167</v>
      </c>
      <c r="C140" t="s">
        <v>14</v>
      </c>
      <c r="D140">
        <v>1</v>
      </c>
      <c r="E140" s="5" t="s">
        <v>348</v>
      </c>
      <c r="F140" s="5" t="s">
        <v>446</v>
      </c>
      <c r="G140" s="4">
        <v>45665</v>
      </c>
      <c r="H140" s="5">
        <f t="shared" si="48"/>
        <v>61000</v>
      </c>
      <c r="I140" s="5">
        <f t="shared" si="49"/>
        <v>46000</v>
      </c>
      <c r="J140" s="5">
        <f t="shared" si="50"/>
        <v>15000</v>
      </c>
      <c r="K140" s="8">
        <f t="shared" si="51"/>
        <v>0.24590163934426229</v>
      </c>
    </row>
    <row r="141" spans="1:11" x14ac:dyDescent="0.3">
      <c r="A141">
        <v>140</v>
      </c>
      <c r="B141" t="s">
        <v>303</v>
      </c>
      <c r="C141" t="s">
        <v>52</v>
      </c>
      <c r="D141">
        <v>1</v>
      </c>
      <c r="E141" s="5" t="s">
        <v>399</v>
      </c>
      <c r="F141" s="5" t="s">
        <v>447</v>
      </c>
      <c r="G141" s="4">
        <v>45818</v>
      </c>
      <c r="H141" s="5">
        <f t="shared" si="48"/>
        <v>97000</v>
      </c>
      <c r="I141" s="5">
        <f t="shared" si="49"/>
        <v>63000</v>
      </c>
      <c r="J141" s="5">
        <f t="shared" si="50"/>
        <v>34000</v>
      </c>
      <c r="K141" s="8">
        <f t="shared" si="51"/>
        <v>0.35051546391752575</v>
      </c>
    </row>
    <row r="142" spans="1:11" x14ac:dyDescent="0.3">
      <c r="A142">
        <v>141</v>
      </c>
      <c r="B142" t="s">
        <v>206</v>
      </c>
      <c r="C142" t="s">
        <v>80</v>
      </c>
      <c r="D142">
        <v>2</v>
      </c>
      <c r="E142" s="5" t="s">
        <v>208</v>
      </c>
      <c r="F142" s="5" t="s">
        <v>339</v>
      </c>
      <c r="G142" s="4">
        <v>45901</v>
      </c>
      <c r="H142" s="5">
        <f t="shared" si="48"/>
        <v>314000</v>
      </c>
      <c r="I142" s="5">
        <f t="shared" si="49"/>
        <v>198000</v>
      </c>
      <c r="J142" s="5">
        <f t="shared" si="50"/>
        <v>116000</v>
      </c>
      <c r="K142" s="8">
        <f t="shared" si="51"/>
        <v>0.36942675159235666</v>
      </c>
    </row>
    <row r="143" spans="1:11" x14ac:dyDescent="0.3">
      <c r="A143">
        <v>142</v>
      </c>
      <c r="B143" t="s">
        <v>209</v>
      </c>
      <c r="C143" t="s">
        <v>52</v>
      </c>
      <c r="D143">
        <v>1</v>
      </c>
      <c r="E143" s="5" t="s">
        <v>365</v>
      </c>
      <c r="F143" s="5" t="s">
        <v>474</v>
      </c>
      <c r="G143" s="4">
        <v>45971</v>
      </c>
      <c r="H143" s="5">
        <f t="shared" si="48"/>
        <v>60000</v>
      </c>
      <c r="I143" s="5">
        <f t="shared" si="49"/>
        <v>41000</v>
      </c>
      <c r="J143" s="5">
        <f t="shared" si="50"/>
        <v>19000</v>
      </c>
      <c r="K143" s="8">
        <f t="shared" si="51"/>
        <v>0.31666666666666665</v>
      </c>
    </row>
    <row r="144" spans="1:11" x14ac:dyDescent="0.3">
      <c r="A144">
        <v>143</v>
      </c>
      <c r="B144" t="s">
        <v>210</v>
      </c>
      <c r="C144" t="s">
        <v>80</v>
      </c>
      <c r="D144">
        <v>2</v>
      </c>
      <c r="E144" s="5" t="s">
        <v>399</v>
      </c>
      <c r="F144" s="5" t="s">
        <v>396</v>
      </c>
      <c r="G144" s="4">
        <v>46045</v>
      </c>
      <c r="H144" s="5">
        <f t="shared" si="48"/>
        <v>194000</v>
      </c>
      <c r="I144" s="5">
        <f t="shared" si="49"/>
        <v>150000</v>
      </c>
      <c r="J144" s="5">
        <f t="shared" si="50"/>
        <v>44000</v>
      </c>
      <c r="K144" s="8">
        <f t="shared" si="51"/>
        <v>0.22680412371134021</v>
      </c>
    </row>
    <row r="145" spans="1:11" x14ac:dyDescent="0.3">
      <c r="A145">
        <v>144</v>
      </c>
      <c r="B145" t="s">
        <v>211</v>
      </c>
      <c r="C145" t="s">
        <v>80</v>
      </c>
      <c r="D145">
        <v>1</v>
      </c>
      <c r="E145" s="5" t="s">
        <v>355</v>
      </c>
      <c r="F145" s="5" t="s">
        <v>466</v>
      </c>
      <c r="G145" s="4">
        <v>45766</v>
      </c>
      <c r="H145" s="5">
        <f t="shared" si="48"/>
        <v>177000</v>
      </c>
      <c r="I145" s="5">
        <f t="shared" si="49"/>
        <v>125000</v>
      </c>
      <c r="J145" s="5">
        <f t="shared" si="50"/>
        <v>52000</v>
      </c>
      <c r="K145" s="8">
        <f t="shared" si="51"/>
        <v>0.29378531073446329</v>
      </c>
    </row>
    <row r="146" spans="1:11" x14ac:dyDescent="0.3">
      <c r="A146">
        <v>145</v>
      </c>
      <c r="B146" t="s">
        <v>304</v>
      </c>
      <c r="C146" t="s">
        <v>26</v>
      </c>
      <c r="D146">
        <v>1</v>
      </c>
      <c r="E146" s="5" t="s">
        <v>409</v>
      </c>
      <c r="F146" s="5" t="s">
        <v>323</v>
      </c>
      <c r="G146" s="4">
        <v>45860</v>
      </c>
      <c r="H146" s="5">
        <f t="shared" si="48"/>
        <v>7000</v>
      </c>
      <c r="I146" s="5">
        <f t="shared" si="49"/>
        <v>4000</v>
      </c>
      <c r="J146" s="5">
        <f t="shared" si="50"/>
        <v>3000</v>
      </c>
      <c r="K146" s="8">
        <f t="shared" si="51"/>
        <v>0.42857142857142855</v>
      </c>
    </row>
    <row r="147" spans="1:11" x14ac:dyDescent="0.3">
      <c r="A147">
        <v>146</v>
      </c>
      <c r="B147" t="s">
        <v>66</v>
      </c>
      <c r="C147" t="s">
        <v>19</v>
      </c>
      <c r="D147">
        <v>4</v>
      </c>
      <c r="E147" s="5" t="s">
        <v>388</v>
      </c>
      <c r="F147" s="5" t="s">
        <v>479</v>
      </c>
      <c r="G147" s="4">
        <v>46084</v>
      </c>
      <c r="H147" s="5">
        <f t="shared" si="48"/>
        <v>200000</v>
      </c>
      <c r="I147" s="5">
        <f t="shared" si="49"/>
        <v>112000</v>
      </c>
      <c r="J147" s="5">
        <f t="shared" si="50"/>
        <v>88000</v>
      </c>
      <c r="K147" s="8">
        <f t="shared" si="51"/>
        <v>0.44</v>
      </c>
    </row>
    <row r="148" spans="1:11" x14ac:dyDescent="0.3">
      <c r="A148">
        <v>147</v>
      </c>
      <c r="B148" t="s">
        <v>213</v>
      </c>
      <c r="C148" t="s">
        <v>37</v>
      </c>
      <c r="D148">
        <v>1</v>
      </c>
      <c r="E148" s="5" t="s">
        <v>367</v>
      </c>
      <c r="F148" s="5" t="s">
        <v>457</v>
      </c>
      <c r="G148" s="4">
        <v>45733</v>
      </c>
      <c r="H148" s="5">
        <f t="shared" si="48"/>
        <v>62000</v>
      </c>
      <c r="I148" s="5">
        <f t="shared" si="49"/>
        <v>33000</v>
      </c>
      <c r="J148" s="5">
        <f t="shared" si="50"/>
        <v>29000</v>
      </c>
      <c r="K148" s="8">
        <f t="shared" si="51"/>
        <v>0.46774193548387094</v>
      </c>
    </row>
    <row r="149" spans="1:11" x14ac:dyDescent="0.3">
      <c r="A149">
        <v>148</v>
      </c>
      <c r="B149" t="s">
        <v>180</v>
      </c>
      <c r="C149" t="s">
        <v>29</v>
      </c>
      <c r="D149">
        <v>1</v>
      </c>
      <c r="E149" s="5" t="s">
        <v>410</v>
      </c>
      <c r="F149" s="5" t="s">
        <v>439</v>
      </c>
      <c r="G149" s="4">
        <v>46126</v>
      </c>
      <c r="H149" s="5">
        <f t="shared" si="48"/>
        <v>36000</v>
      </c>
      <c r="I149" s="5">
        <f t="shared" si="49"/>
        <v>27000</v>
      </c>
      <c r="J149" s="5">
        <f t="shared" si="50"/>
        <v>9000</v>
      </c>
      <c r="K149" s="8">
        <f t="shared" si="51"/>
        <v>0.25</v>
      </c>
    </row>
    <row r="150" spans="1:11" x14ac:dyDescent="0.3">
      <c r="A150">
        <v>149</v>
      </c>
      <c r="B150" t="s">
        <v>215</v>
      </c>
      <c r="C150" t="s">
        <v>89</v>
      </c>
      <c r="D150">
        <v>1</v>
      </c>
      <c r="E150" s="5" t="s">
        <v>347</v>
      </c>
      <c r="F150" s="5" t="s">
        <v>480</v>
      </c>
      <c r="G150" s="4">
        <v>46091</v>
      </c>
      <c r="H150" s="5">
        <f t="shared" si="48"/>
        <v>153000</v>
      </c>
      <c r="I150" s="5">
        <f t="shared" si="49"/>
        <v>114000</v>
      </c>
      <c r="J150" s="5">
        <f t="shared" si="50"/>
        <v>39000</v>
      </c>
      <c r="K150" s="8">
        <f t="shared" si="51"/>
        <v>0.25490196078431371</v>
      </c>
    </row>
    <row r="151" spans="1:11" x14ac:dyDescent="0.3">
      <c r="A151">
        <v>150</v>
      </c>
      <c r="B151" t="s">
        <v>216</v>
      </c>
      <c r="C151" t="s">
        <v>80</v>
      </c>
      <c r="D151">
        <v>4</v>
      </c>
      <c r="E151" s="5" t="s">
        <v>411</v>
      </c>
      <c r="F151" s="5" t="s">
        <v>340</v>
      </c>
      <c r="G151" s="4">
        <v>45871</v>
      </c>
      <c r="H151" s="5">
        <f t="shared" si="48"/>
        <v>404000</v>
      </c>
      <c r="I151" s="5">
        <f t="shared" si="49"/>
        <v>292000</v>
      </c>
      <c r="J151" s="5">
        <f t="shared" si="50"/>
        <v>112000</v>
      </c>
      <c r="K151" s="8">
        <f t="shared" si="51"/>
        <v>0.27722772277227725</v>
      </c>
    </row>
    <row r="152" spans="1:11" x14ac:dyDescent="0.3">
      <c r="A152">
        <v>151</v>
      </c>
      <c r="B152" t="s">
        <v>213</v>
      </c>
      <c r="C152" t="s">
        <v>29</v>
      </c>
      <c r="D152">
        <v>1</v>
      </c>
      <c r="E152" s="5" t="s">
        <v>379</v>
      </c>
      <c r="F152" s="5" t="s">
        <v>344</v>
      </c>
      <c r="G152" s="4">
        <v>46220</v>
      </c>
      <c r="H152" s="5">
        <f t="shared" si="48"/>
        <v>70000</v>
      </c>
      <c r="I152" s="5">
        <f t="shared" si="49"/>
        <v>54000</v>
      </c>
      <c r="J152" s="5">
        <f t="shared" si="50"/>
        <v>16000</v>
      </c>
      <c r="K152" s="8">
        <f t="shared" si="51"/>
        <v>0.22857142857142856</v>
      </c>
    </row>
    <row r="153" spans="1:11" x14ac:dyDescent="0.3">
      <c r="A153">
        <v>152</v>
      </c>
      <c r="B153" t="s">
        <v>108</v>
      </c>
      <c r="C153" t="s">
        <v>52</v>
      </c>
      <c r="D153">
        <v>1</v>
      </c>
      <c r="E153" s="5" t="s">
        <v>368</v>
      </c>
      <c r="F153" s="5" t="s">
        <v>431</v>
      </c>
      <c r="G153" s="4">
        <v>46061</v>
      </c>
      <c r="H153" s="5">
        <f t="shared" si="48"/>
        <v>93000</v>
      </c>
      <c r="I153" s="5">
        <f t="shared" si="49"/>
        <v>59000</v>
      </c>
      <c r="J153" s="5">
        <f t="shared" si="50"/>
        <v>34000</v>
      </c>
      <c r="K153" s="8">
        <f t="shared" si="51"/>
        <v>0.36559139784946237</v>
      </c>
    </row>
    <row r="154" spans="1:11" x14ac:dyDescent="0.3">
      <c r="A154">
        <v>153</v>
      </c>
      <c r="B154" t="s">
        <v>218</v>
      </c>
      <c r="C154" t="s">
        <v>37</v>
      </c>
      <c r="D154">
        <v>1</v>
      </c>
      <c r="E154" s="5" t="s">
        <v>388</v>
      </c>
      <c r="F154" s="5" t="s">
        <v>448</v>
      </c>
      <c r="G154" s="4">
        <v>45954</v>
      </c>
      <c r="H154" s="5">
        <f t="shared" si="48"/>
        <v>50000</v>
      </c>
      <c r="I154" s="5">
        <f t="shared" si="49"/>
        <v>26000</v>
      </c>
      <c r="J154" s="5">
        <f t="shared" si="50"/>
        <v>24000</v>
      </c>
      <c r="K154" s="8">
        <f t="shared" si="51"/>
        <v>0.48</v>
      </c>
    </row>
    <row r="155" spans="1:11" x14ac:dyDescent="0.3">
      <c r="A155">
        <v>154</v>
      </c>
      <c r="B155" t="s">
        <v>219</v>
      </c>
      <c r="C155" t="s">
        <v>52</v>
      </c>
      <c r="D155">
        <v>2</v>
      </c>
      <c r="E155" s="5" t="s">
        <v>398</v>
      </c>
      <c r="F155" s="5" t="s">
        <v>356</v>
      </c>
      <c r="G155" s="4">
        <v>46041</v>
      </c>
      <c r="H155" s="5">
        <f t="shared" si="48"/>
        <v>138000</v>
      </c>
      <c r="I155" s="5">
        <f t="shared" si="49"/>
        <v>98000</v>
      </c>
      <c r="J155" s="5">
        <f t="shared" si="50"/>
        <v>40000</v>
      </c>
      <c r="K155" s="8">
        <f t="shared" si="51"/>
        <v>0.28985507246376813</v>
      </c>
    </row>
    <row r="156" spans="1:11" x14ac:dyDescent="0.3">
      <c r="A156">
        <v>155</v>
      </c>
      <c r="B156" t="s">
        <v>220</v>
      </c>
      <c r="C156" t="s">
        <v>37</v>
      </c>
      <c r="D156">
        <v>1</v>
      </c>
      <c r="E156" s="5" t="s">
        <v>411</v>
      </c>
      <c r="F156" s="5" t="s">
        <v>318</v>
      </c>
      <c r="G156" s="4">
        <v>46233</v>
      </c>
      <c r="H156" s="5">
        <f t="shared" si="48"/>
        <v>101000</v>
      </c>
      <c r="I156" s="5">
        <f t="shared" si="49"/>
        <v>64000</v>
      </c>
      <c r="J156" s="5">
        <f t="shared" si="50"/>
        <v>37000</v>
      </c>
      <c r="K156" s="8">
        <f t="shared" si="51"/>
        <v>0.36633663366336633</v>
      </c>
    </row>
    <row r="157" spans="1:11" x14ac:dyDescent="0.3">
      <c r="A157">
        <v>156</v>
      </c>
      <c r="B157" t="s">
        <v>221</v>
      </c>
      <c r="C157" t="s">
        <v>8</v>
      </c>
      <c r="D157">
        <v>2</v>
      </c>
      <c r="E157" s="5" t="s">
        <v>405</v>
      </c>
      <c r="F157" s="5" t="s">
        <v>222</v>
      </c>
      <c r="G157" s="4">
        <v>45766</v>
      </c>
      <c r="H157" s="5">
        <f t="shared" si="48"/>
        <v>340000</v>
      </c>
      <c r="I157" s="5">
        <f t="shared" si="49"/>
        <v>258000</v>
      </c>
      <c r="J157" s="5">
        <f t="shared" si="50"/>
        <v>82000</v>
      </c>
      <c r="K157" s="8">
        <f t="shared" si="51"/>
        <v>0.2411764705882353</v>
      </c>
    </row>
    <row r="158" spans="1:11" x14ac:dyDescent="0.3">
      <c r="A158">
        <v>157</v>
      </c>
      <c r="B158" t="s">
        <v>223</v>
      </c>
      <c r="C158" t="s">
        <v>143</v>
      </c>
      <c r="D158">
        <v>1</v>
      </c>
      <c r="E158" s="5" t="s">
        <v>352</v>
      </c>
      <c r="F158" s="5" t="s">
        <v>388</v>
      </c>
      <c r="G158" s="4">
        <v>46239</v>
      </c>
      <c r="H158" s="5">
        <f t="shared" si="48"/>
        <v>96000</v>
      </c>
      <c r="I158" s="5">
        <f t="shared" si="49"/>
        <v>50000</v>
      </c>
      <c r="J158" s="5">
        <f t="shared" si="50"/>
        <v>46000</v>
      </c>
      <c r="K158" s="8">
        <f t="shared" si="51"/>
        <v>0.47916666666666669</v>
      </c>
    </row>
    <row r="159" spans="1:11" hidden="1" x14ac:dyDescent="0.3">
      <c r="A159">
        <v>158</v>
      </c>
      <c r="B159" t="s">
        <v>224</v>
      </c>
      <c r="C159" t="s">
        <v>80</v>
      </c>
      <c r="D159">
        <v>1</v>
      </c>
      <c r="E159" s="5" t="s">
        <v>412</v>
      </c>
      <c r="F159" s="5" t="s">
        <v>334</v>
      </c>
    </row>
    <row r="160" spans="1:11" x14ac:dyDescent="0.3">
      <c r="A160">
        <v>159</v>
      </c>
      <c r="B160" t="s">
        <v>305</v>
      </c>
      <c r="C160" t="s">
        <v>58</v>
      </c>
      <c r="D160">
        <v>1</v>
      </c>
      <c r="E160" s="5" t="s">
        <v>413</v>
      </c>
      <c r="F160" s="5" t="s">
        <v>226</v>
      </c>
      <c r="G160" s="4">
        <v>45748</v>
      </c>
      <c r="H160" s="5">
        <f t="shared" ref="H160:H189" si="52">D160*E160</f>
        <v>29000</v>
      </c>
      <c r="I160" s="5">
        <f t="shared" ref="I160:I189" si="53">D160*F160</f>
        <v>20000</v>
      </c>
      <c r="J160" s="5">
        <f t="shared" ref="J160:J189" si="54">H160-I160</f>
        <v>9000</v>
      </c>
      <c r="K160" s="8">
        <f t="shared" ref="K160:K189" si="55">J160/H160</f>
        <v>0.31034482758620691</v>
      </c>
    </row>
    <row r="161" spans="1:11" x14ac:dyDescent="0.3">
      <c r="A161">
        <v>160</v>
      </c>
      <c r="B161" t="s">
        <v>219</v>
      </c>
      <c r="C161" t="s">
        <v>80</v>
      </c>
      <c r="D161">
        <v>1</v>
      </c>
      <c r="E161" s="5" t="s">
        <v>393</v>
      </c>
      <c r="F161" s="5" t="s">
        <v>352</v>
      </c>
      <c r="G161" s="4">
        <v>45779</v>
      </c>
      <c r="H161" s="5">
        <f t="shared" si="52"/>
        <v>145000</v>
      </c>
      <c r="I161" s="5">
        <f t="shared" si="53"/>
        <v>96000</v>
      </c>
      <c r="J161" s="5">
        <f t="shared" si="54"/>
        <v>49000</v>
      </c>
      <c r="K161" s="8">
        <f t="shared" si="55"/>
        <v>0.33793103448275863</v>
      </c>
    </row>
    <row r="162" spans="1:11" x14ac:dyDescent="0.3">
      <c r="A162">
        <v>161</v>
      </c>
      <c r="B162" t="s">
        <v>149</v>
      </c>
      <c r="C162" t="s">
        <v>58</v>
      </c>
      <c r="D162">
        <v>3</v>
      </c>
      <c r="E162" s="5" t="s">
        <v>414</v>
      </c>
      <c r="F162" s="5" t="s">
        <v>479</v>
      </c>
      <c r="G162" s="4">
        <v>45837</v>
      </c>
      <c r="H162" s="5">
        <f t="shared" si="52"/>
        <v>117000</v>
      </c>
      <c r="I162" s="5">
        <f t="shared" si="53"/>
        <v>84000</v>
      </c>
      <c r="J162" s="5">
        <f t="shared" si="54"/>
        <v>33000</v>
      </c>
      <c r="K162" s="8">
        <f t="shared" si="55"/>
        <v>0.28205128205128205</v>
      </c>
    </row>
    <row r="163" spans="1:11" x14ac:dyDescent="0.3">
      <c r="A163">
        <v>162</v>
      </c>
      <c r="B163" t="s">
        <v>306</v>
      </c>
      <c r="C163" t="s">
        <v>50</v>
      </c>
      <c r="D163">
        <v>1</v>
      </c>
      <c r="E163" s="5" t="s">
        <v>330</v>
      </c>
      <c r="F163" s="5" t="s">
        <v>368</v>
      </c>
      <c r="G163" s="4">
        <v>45803</v>
      </c>
      <c r="H163" s="5">
        <f t="shared" si="52"/>
        <v>139000</v>
      </c>
      <c r="I163" s="5">
        <f t="shared" si="53"/>
        <v>93000</v>
      </c>
      <c r="J163" s="5">
        <f t="shared" si="54"/>
        <v>46000</v>
      </c>
      <c r="K163" s="8">
        <f t="shared" si="55"/>
        <v>0.33093525179856115</v>
      </c>
    </row>
    <row r="164" spans="1:11" x14ac:dyDescent="0.3">
      <c r="A164">
        <v>163</v>
      </c>
      <c r="B164" t="s">
        <v>167</v>
      </c>
      <c r="C164" t="s">
        <v>52</v>
      </c>
      <c r="D164">
        <v>4</v>
      </c>
      <c r="E164" s="5" t="s">
        <v>348</v>
      </c>
      <c r="F164" s="5" t="s">
        <v>342</v>
      </c>
      <c r="G164" s="4">
        <v>45773</v>
      </c>
      <c r="H164" s="5">
        <f t="shared" si="52"/>
        <v>244000</v>
      </c>
      <c r="I164" s="5">
        <f t="shared" si="53"/>
        <v>180000</v>
      </c>
      <c r="J164" s="5">
        <f t="shared" si="54"/>
        <v>64000</v>
      </c>
      <c r="K164" s="8">
        <f t="shared" si="55"/>
        <v>0.26229508196721313</v>
      </c>
    </row>
    <row r="165" spans="1:11" x14ac:dyDescent="0.3">
      <c r="A165">
        <v>164</v>
      </c>
      <c r="B165" t="s">
        <v>230</v>
      </c>
      <c r="C165" t="s">
        <v>8</v>
      </c>
      <c r="D165">
        <v>1</v>
      </c>
      <c r="E165" s="5" t="s">
        <v>415</v>
      </c>
      <c r="F165" s="5" t="s">
        <v>411</v>
      </c>
      <c r="G165" s="4">
        <v>45818</v>
      </c>
      <c r="H165" s="5">
        <f t="shared" si="52"/>
        <v>144000</v>
      </c>
      <c r="I165" s="5">
        <f t="shared" si="53"/>
        <v>101000</v>
      </c>
      <c r="J165" s="5">
        <f t="shared" si="54"/>
        <v>43000</v>
      </c>
      <c r="K165" s="8">
        <f t="shared" si="55"/>
        <v>0.2986111111111111</v>
      </c>
    </row>
    <row r="166" spans="1:11" x14ac:dyDescent="0.3">
      <c r="A166">
        <v>165</v>
      </c>
      <c r="B166" t="s">
        <v>231</v>
      </c>
      <c r="C166" t="s">
        <v>14</v>
      </c>
      <c r="D166">
        <v>1</v>
      </c>
      <c r="E166" s="5" t="s">
        <v>379</v>
      </c>
      <c r="F166" s="5" t="s">
        <v>375</v>
      </c>
      <c r="G166" s="4">
        <v>46301</v>
      </c>
      <c r="H166" s="5">
        <f t="shared" si="52"/>
        <v>70000</v>
      </c>
      <c r="I166" s="5">
        <f t="shared" si="53"/>
        <v>43000</v>
      </c>
      <c r="J166" s="5">
        <f t="shared" si="54"/>
        <v>27000</v>
      </c>
      <c r="K166" s="8">
        <f t="shared" si="55"/>
        <v>0.38571428571428573</v>
      </c>
    </row>
    <row r="167" spans="1:11" x14ac:dyDescent="0.3">
      <c r="A167">
        <v>166</v>
      </c>
      <c r="B167" t="s">
        <v>233</v>
      </c>
      <c r="C167" t="s">
        <v>29</v>
      </c>
      <c r="D167">
        <v>1</v>
      </c>
      <c r="E167" s="5" t="s">
        <v>416</v>
      </c>
      <c r="F167" s="5" t="s">
        <v>234</v>
      </c>
      <c r="G167" s="4">
        <v>45931</v>
      </c>
      <c r="H167" s="5">
        <f t="shared" si="52"/>
        <v>56000</v>
      </c>
      <c r="I167" s="5">
        <f t="shared" si="53"/>
        <v>42000</v>
      </c>
      <c r="J167" s="5">
        <f t="shared" si="54"/>
        <v>14000</v>
      </c>
      <c r="K167" s="8">
        <f t="shared" si="55"/>
        <v>0.25</v>
      </c>
    </row>
    <row r="168" spans="1:11" x14ac:dyDescent="0.3">
      <c r="A168">
        <v>167</v>
      </c>
      <c r="B168" t="s">
        <v>235</v>
      </c>
      <c r="C168" t="s">
        <v>21</v>
      </c>
      <c r="D168">
        <v>1</v>
      </c>
      <c r="E168" s="5" t="s">
        <v>417</v>
      </c>
      <c r="F168" s="5" t="s">
        <v>410</v>
      </c>
      <c r="G168" s="4">
        <v>45903</v>
      </c>
      <c r="H168" s="5">
        <f t="shared" si="52"/>
        <v>47000</v>
      </c>
      <c r="I168" s="5">
        <f t="shared" si="53"/>
        <v>36000</v>
      </c>
      <c r="J168" s="5">
        <f t="shared" si="54"/>
        <v>11000</v>
      </c>
      <c r="K168" s="8">
        <f t="shared" si="55"/>
        <v>0.23404255319148937</v>
      </c>
    </row>
    <row r="169" spans="1:11" x14ac:dyDescent="0.3">
      <c r="A169">
        <v>168</v>
      </c>
      <c r="B169" t="s">
        <v>307</v>
      </c>
      <c r="C169" t="s">
        <v>50</v>
      </c>
      <c r="D169">
        <v>1</v>
      </c>
      <c r="E169" s="5" t="s">
        <v>418</v>
      </c>
      <c r="F169" s="5" t="s">
        <v>481</v>
      </c>
      <c r="G169" s="4">
        <v>46129</v>
      </c>
      <c r="H169" s="5">
        <f t="shared" si="52"/>
        <v>131000</v>
      </c>
      <c r="I169" s="5">
        <f t="shared" si="53"/>
        <v>86000</v>
      </c>
      <c r="J169" s="5">
        <f t="shared" si="54"/>
        <v>45000</v>
      </c>
      <c r="K169" s="8">
        <f t="shared" si="55"/>
        <v>0.34351145038167941</v>
      </c>
    </row>
    <row r="170" spans="1:11" x14ac:dyDescent="0.3">
      <c r="A170">
        <v>169</v>
      </c>
      <c r="B170" t="s">
        <v>239</v>
      </c>
      <c r="C170" t="s">
        <v>41</v>
      </c>
      <c r="D170">
        <v>1</v>
      </c>
      <c r="E170" s="5" t="s">
        <v>419</v>
      </c>
      <c r="F170" s="5" t="s">
        <v>476</v>
      </c>
      <c r="G170" s="4">
        <v>45820</v>
      </c>
      <c r="H170" s="5">
        <f t="shared" si="52"/>
        <v>78000</v>
      </c>
      <c r="I170" s="5">
        <f t="shared" si="53"/>
        <v>55000</v>
      </c>
      <c r="J170" s="5">
        <f t="shared" si="54"/>
        <v>23000</v>
      </c>
      <c r="K170" s="8">
        <f t="shared" si="55"/>
        <v>0.29487179487179488</v>
      </c>
    </row>
    <row r="171" spans="1:11" x14ac:dyDescent="0.3">
      <c r="A171">
        <v>170</v>
      </c>
      <c r="B171" t="s">
        <v>137</v>
      </c>
      <c r="C171" t="s">
        <v>26</v>
      </c>
      <c r="D171">
        <v>2</v>
      </c>
      <c r="E171" s="5" t="s">
        <v>353</v>
      </c>
      <c r="F171" s="5" t="s">
        <v>323</v>
      </c>
      <c r="G171" s="4">
        <v>45951</v>
      </c>
      <c r="H171" s="5">
        <f t="shared" si="52"/>
        <v>12000</v>
      </c>
      <c r="I171" s="5">
        <f t="shared" si="53"/>
        <v>8000</v>
      </c>
      <c r="J171" s="5">
        <f t="shared" si="54"/>
        <v>4000</v>
      </c>
      <c r="K171" s="8">
        <f t="shared" si="55"/>
        <v>0.33333333333333331</v>
      </c>
    </row>
    <row r="172" spans="1:11" x14ac:dyDescent="0.3">
      <c r="A172">
        <v>171</v>
      </c>
      <c r="B172" t="s">
        <v>240</v>
      </c>
      <c r="C172" t="s">
        <v>138</v>
      </c>
      <c r="D172">
        <v>3</v>
      </c>
      <c r="E172" s="5" t="s">
        <v>420</v>
      </c>
      <c r="F172" s="5" t="s">
        <v>395</v>
      </c>
      <c r="G172" s="4">
        <v>45970</v>
      </c>
      <c r="H172" s="5">
        <f t="shared" si="52"/>
        <v>645000</v>
      </c>
      <c r="I172" s="5">
        <f t="shared" si="53"/>
        <v>420000</v>
      </c>
      <c r="J172" s="5">
        <f t="shared" si="54"/>
        <v>225000</v>
      </c>
      <c r="K172" s="8">
        <f t="shared" si="55"/>
        <v>0.34883720930232559</v>
      </c>
    </row>
    <row r="173" spans="1:11" x14ac:dyDescent="0.3">
      <c r="A173">
        <v>172</v>
      </c>
      <c r="B173" t="s">
        <v>241</v>
      </c>
      <c r="C173" t="s">
        <v>8</v>
      </c>
      <c r="D173">
        <v>1</v>
      </c>
      <c r="E173" s="5" t="s">
        <v>370</v>
      </c>
      <c r="F173" s="5" t="s">
        <v>482</v>
      </c>
      <c r="G173" s="4">
        <v>46186</v>
      </c>
      <c r="H173" s="5">
        <f t="shared" si="52"/>
        <v>228000</v>
      </c>
      <c r="I173" s="5">
        <f t="shared" si="53"/>
        <v>149000</v>
      </c>
      <c r="J173" s="5">
        <f t="shared" si="54"/>
        <v>79000</v>
      </c>
      <c r="K173" s="8">
        <f t="shared" si="55"/>
        <v>0.34649122807017546</v>
      </c>
    </row>
    <row r="174" spans="1:11" x14ac:dyDescent="0.3">
      <c r="A174">
        <v>173</v>
      </c>
      <c r="B174" t="s">
        <v>31</v>
      </c>
      <c r="C174" t="s">
        <v>8</v>
      </c>
      <c r="D174">
        <v>2</v>
      </c>
      <c r="E174" s="5" t="s">
        <v>326</v>
      </c>
      <c r="F174" s="5" t="s">
        <v>389</v>
      </c>
      <c r="G174" s="4">
        <v>45969</v>
      </c>
      <c r="H174" s="5">
        <f t="shared" si="52"/>
        <v>580000</v>
      </c>
      <c r="I174" s="5">
        <f t="shared" si="53"/>
        <v>314000</v>
      </c>
      <c r="J174" s="5">
        <f t="shared" si="54"/>
        <v>266000</v>
      </c>
      <c r="K174" s="8">
        <f t="shared" si="55"/>
        <v>0.45862068965517239</v>
      </c>
    </row>
    <row r="175" spans="1:11" x14ac:dyDescent="0.3">
      <c r="A175">
        <v>174</v>
      </c>
      <c r="B175" t="s">
        <v>242</v>
      </c>
      <c r="C175" t="s">
        <v>122</v>
      </c>
      <c r="D175">
        <v>1</v>
      </c>
      <c r="E175" s="5" t="s">
        <v>408</v>
      </c>
      <c r="F175" s="5" t="s">
        <v>320</v>
      </c>
      <c r="G175" s="4">
        <v>45935</v>
      </c>
      <c r="H175" s="5">
        <f t="shared" si="52"/>
        <v>66000</v>
      </c>
      <c r="I175" s="5">
        <f t="shared" si="53"/>
        <v>38000</v>
      </c>
      <c r="J175" s="5">
        <f t="shared" si="54"/>
        <v>28000</v>
      </c>
      <c r="K175" s="8">
        <f t="shared" si="55"/>
        <v>0.42424242424242425</v>
      </c>
    </row>
    <row r="176" spans="1:11" x14ac:dyDescent="0.3">
      <c r="A176">
        <v>175</v>
      </c>
      <c r="B176" t="s">
        <v>313</v>
      </c>
      <c r="C176" t="s">
        <v>122</v>
      </c>
      <c r="D176">
        <v>2</v>
      </c>
      <c r="E176" s="5" t="s">
        <v>349</v>
      </c>
      <c r="F176" s="5" t="s">
        <v>333</v>
      </c>
      <c r="G176" s="4">
        <v>45767</v>
      </c>
      <c r="H176" s="5">
        <f t="shared" si="52"/>
        <v>96000</v>
      </c>
      <c r="I176" s="5">
        <f t="shared" si="53"/>
        <v>62000</v>
      </c>
      <c r="J176" s="5">
        <f t="shared" si="54"/>
        <v>34000</v>
      </c>
      <c r="K176" s="8">
        <f t="shared" si="55"/>
        <v>0.35416666666666669</v>
      </c>
    </row>
    <row r="177" spans="1:11" x14ac:dyDescent="0.3">
      <c r="A177">
        <v>176</v>
      </c>
      <c r="B177" t="s">
        <v>245</v>
      </c>
      <c r="C177" t="s">
        <v>122</v>
      </c>
      <c r="D177">
        <v>1</v>
      </c>
      <c r="E177" s="5" t="s">
        <v>377</v>
      </c>
      <c r="F177" s="5" t="s">
        <v>375</v>
      </c>
      <c r="G177" s="4">
        <v>45977</v>
      </c>
      <c r="H177" s="5">
        <f t="shared" si="52"/>
        <v>68000</v>
      </c>
      <c r="I177" s="5">
        <f t="shared" si="53"/>
        <v>43000</v>
      </c>
      <c r="J177" s="5">
        <f t="shared" si="54"/>
        <v>25000</v>
      </c>
      <c r="K177" s="8">
        <f t="shared" si="55"/>
        <v>0.36764705882352944</v>
      </c>
    </row>
    <row r="178" spans="1:11" x14ac:dyDescent="0.3">
      <c r="A178">
        <v>177</v>
      </c>
      <c r="B178" t="s">
        <v>246</v>
      </c>
      <c r="C178" t="s">
        <v>29</v>
      </c>
      <c r="D178">
        <v>1</v>
      </c>
      <c r="E178" s="5" t="s">
        <v>377</v>
      </c>
      <c r="F178" s="5" t="s">
        <v>390</v>
      </c>
      <c r="G178" s="4">
        <v>46187</v>
      </c>
      <c r="H178" s="5">
        <f t="shared" si="52"/>
        <v>68000</v>
      </c>
      <c r="I178" s="5">
        <f t="shared" si="53"/>
        <v>51000</v>
      </c>
      <c r="J178" s="5">
        <f t="shared" si="54"/>
        <v>17000</v>
      </c>
      <c r="K178" s="8">
        <f t="shared" si="55"/>
        <v>0.25</v>
      </c>
    </row>
    <row r="179" spans="1:11" x14ac:dyDescent="0.3">
      <c r="A179">
        <v>178</v>
      </c>
      <c r="B179" t="s">
        <v>235</v>
      </c>
      <c r="C179" t="s">
        <v>21</v>
      </c>
      <c r="D179">
        <v>1</v>
      </c>
      <c r="E179" s="5" t="s">
        <v>417</v>
      </c>
      <c r="F179" s="5" t="s">
        <v>410</v>
      </c>
      <c r="G179" s="4">
        <v>45903</v>
      </c>
      <c r="H179" s="5">
        <f t="shared" si="52"/>
        <v>47000</v>
      </c>
      <c r="I179" s="5">
        <f t="shared" si="53"/>
        <v>36000</v>
      </c>
      <c r="J179" s="5">
        <f t="shared" si="54"/>
        <v>11000</v>
      </c>
      <c r="K179" s="8">
        <f t="shared" si="55"/>
        <v>0.23404255319148937</v>
      </c>
    </row>
    <row r="180" spans="1:11" x14ac:dyDescent="0.3">
      <c r="A180">
        <v>179</v>
      </c>
      <c r="B180" t="s">
        <v>163</v>
      </c>
      <c r="C180" t="s">
        <v>80</v>
      </c>
      <c r="D180">
        <v>1</v>
      </c>
      <c r="E180" s="5" t="s">
        <v>327</v>
      </c>
      <c r="F180" s="5" t="s">
        <v>340</v>
      </c>
      <c r="G180" s="4">
        <v>45872</v>
      </c>
      <c r="H180" s="5">
        <f t="shared" si="52"/>
        <v>95000</v>
      </c>
      <c r="I180" s="5">
        <f t="shared" si="53"/>
        <v>73000</v>
      </c>
      <c r="J180" s="5">
        <f t="shared" si="54"/>
        <v>22000</v>
      </c>
      <c r="K180" s="8">
        <f t="shared" si="55"/>
        <v>0.23157894736842105</v>
      </c>
    </row>
    <row r="181" spans="1:11" x14ac:dyDescent="0.3">
      <c r="A181">
        <v>180</v>
      </c>
      <c r="B181" t="s">
        <v>247</v>
      </c>
      <c r="C181" t="s">
        <v>80</v>
      </c>
      <c r="D181">
        <v>2</v>
      </c>
      <c r="E181" s="5" t="s">
        <v>421</v>
      </c>
      <c r="F181" s="5" t="s">
        <v>400</v>
      </c>
      <c r="G181" s="4">
        <v>45780</v>
      </c>
      <c r="H181" s="5">
        <f t="shared" si="52"/>
        <v>384000</v>
      </c>
      <c r="I181" s="5">
        <f t="shared" si="53"/>
        <v>232000</v>
      </c>
      <c r="J181" s="5">
        <f t="shared" si="54"/>
        <v>152000</v>
      </c>
      <c r="K181" s="8">
        <f t="shared" si="55"/>
        <v>0.39583333333333331</v>
      </c>
    </row>
    <row r="182" spans="1:11" x14ac:dyDescent="0.3">
      <c r="A182">
        <v>181</v>
      </c>
      <c r="B182" t="s">
        <v>248</v>
      </c>
      <c r="C182" t="s">
        <v>58</v>
      </c>
      <c r="D182">
        <v>1</v>
      </c>
      <c r="E182" s="5" t="s">
        <v>378</v>
      </c>
      <c r="F182" s="5" t="s">
        <v>477</v>
      </c>
      <c r="G182" s="4">
        <v>46226</v>
      </c>
      <c r="H182" s="5">
        <f t="shared" si="52"/>
        <v>22000</v>
      </c>
      <c r="I182" s="5">
        <f t="shared" si="53"/>
        <v>14000</v>
      </c>
      <c r="J182" s="5">
        <f t="shared" si="54"/>
        <v>8000</v>
      </c>
      <c r="K182" s="8">
        <f t="shared" si="55"/>
        <v>0.36363636363636365</v>
      </c>
    </row>
    <row r="183" spans="1:11" x14ac:dyDescent="0.3">
      <c r="A183">
        <v>182</v>
      </c>
      <c r="B183" t="s">
        <v>249</v>
      </c>
      <c r="C183" t="s">
        <v>21</v>
      </c>
      <c r="D183">
        <v>2</v>
      </c>
      <c r="E183" s="5" t="s">
        <v>422</v>
      </c>
      <c r="F183" s="5" t="s">
        <v>469</v>
      </c>
      <c r="G183" s="4">
        <v>46146</v>
      </c>
      <c r="H183" s="5">
        <f t="shared" si="52"/>
        <v>84000</v>
      </c>
      <c r="I183" s="5">
        <f t="shared" si="53"/>
        <v>48000</v>
      </c>
      <c r="J183" s="5">
        <f t="shared" si="54"/>
        <v>36000</v>
      </c>
      <c r="K183" s="8">
        <f t="shared" si="55"/>
        <v>0.42857142857142855</v>
      </c>
    </row>
    <row r="184" spans="1:11" x14ac:dyDescent="0.3">
      <c r="A184">
        <v>183</v>
      </c>
      <c r="B184" t="s">
        <v>49</v>
      </c>
      <c r="C184" t="s">
        <v>89</v>
      </c>
      <c r="D184">
        <v>1</v>
      </c>
      <c r="E184" s="5" t="s">
        <v>389</v>
      </c>
      <c r="F184" s="5" t="s">
        <v>424</v>
      </c>
      <c r="G184" s="4">
        <v>46119</v>
      </c>
      <c r="H184" s="5">
        <f t="shared" si="52"/>
        <v>157000</v>
      </c>
      <c r="I184" s="5">
        <f t="shared" si="53"/>
        <v>84000</v>
      </c>
      <c r="J184" s="5">
        <f t="shared" si="54"/>
        <v>73000</v>
      </c>
      <c r="K184" s="8">
        <f t="shared" si="55"/>
        <v>0.46496815286624205</v>
      </c>
    </row>
    <row r="185" spans="1:11" x14ac:dyDescent="0.3">
      <c r="A185">
        <v>184</v>
      </c>
      <c r="B185" t="s">
        <v>251</v>
      </c>
      <c r="C185" t="s">
        <v>122</v>
      </c>
      <c r="D185">
        <v>1</v>
      </c>
      <c r="E185" s="5" t="s">
        <v>423</v>
      </c>
      <c r="F185" s="5" t="s">
        <v>414</v>
      </c>
      <c r="G185" s="4">
        <v>46021</v>
      </c>
      <c r="H185" s="5">
        <f t="shared" si="52"/>
        <v>57000</v>
      </c>
      <c r="I185" s="5">
        <f t="shared" si="53"/>
        <v>39000</v>
      </c>
      <c r="J185" s="5">
        <f t="shared" si="54"/>
        <v>18000</v>
      </c>
      <c r="K185" s="8">
        <f>J185/H185</f>
        <v>0.31578947368421051</v>
      </c>
    </row>
    <row r="186" spans="1:11" x14ac:dyDescent="0.3">
      <c r="A186">
        <v>185</v>
      </c>
      <c r="B186" t="s">
        <v>166</v>
      </c>
      <c r="C186" t="s">
        <v>58</v>
      </c>
      <c r="D186">
        <v>1</v>
      </c>
      <c r="E186" s="5" t="s">
        <v>375</v>
      </c>
      <c r="F186" s="5" t="s">
        <v>413</v>
      </c>
      <c r="G186" s="4">
        <v>46039</v>
      </c>
      <c r="H186" s="5">
        <f t="shared" si="52"/>
        <v>43000</v>
      </c>
      <c r="I186" s="5">
        <f t="shared" si="53"/>
        <v>29000</v>
      </c>
      <c r="J186" s="5">
        <f t="shared" si="54"/>
        <v>14000</v>
      </c>
      <c r="K186" s="8">
        <f t="shared" si="55"/>
        <v>0.32558139534883723</v>
      </c>
    </row>
    <row r="187" spans="1:11" x14ac:dyDescent="0.3">
      <c r="A187">
        <v>186</v>
      </c>
      <c r="B187" t="s">
        <v>314</v>
      </c>
      <c r="C187" t="s">
        <v>308</v>
      </c>
      <c r="D187">
        <v>2</v>
      </c>
      <c r="E187" s="5" t="s">
        <v>321</v>
      </c>
      <c r="F187" s="5" t="s">
        <v>391</v>
      </c>
      <c r="G187" s="4">
        <v>45834</v>
      </c>
      <c r="H187" s="5">
        <f t="shared" si="52"/>
        <v>422000</v>
      </c>
      <c r="I187" s="5">
        <f t="shared" si="53"/>
        <v>234000</v>
      </c>
      <c r="J187" s="5">
        <f t="shared" si="54"/>
        <v>188000</v>
      </c>
      <c r="K187" s="8">
        <f t="shared" si="55"/>
        <v>0.44549763033175355</v>
      </c>
    </row>
    <row r="188" spans="1:11" x14ac:dyDescent="0.3">
      <c r="A188">
        <v>187</v>
      </c>
      <c r="B188" t="s">
        <v>255</v>
      </c>
      <c r="C188" t="s">
        <v>37</v>
      </c>
      <c r="D188">
        <v>2</v>
      </c>
      <c r="E188" s="5" t="s">
        <v>377</v>
      </c>
      <c r="F188" s="5" t="s">
        <v>342</v>
      </c>
      <c r="G188" s="4">
        <v>45907</v>
      </c>
      <c r="H188" s="5">
        <f t="shared" si="52"/>
        <v>136000</v>
      </c>
      <c r="I188" s="5">
        <f t="shared" si="53"/>
        <v>90000</v>
      </c>
      <c r="J188" s="5">
        <f t="shared" si="54"/>
        <v>46000</v>
      </c>
      <c r="K188" s="8">
        <f t="shared" si="55"/>
        <v>0.33823529411764708</v>
      </c>
    </row>
    <row r="189" spans="1:11" x14ac:dyDescent="0.3">
      <c r="A189">
        <v>188</v>
      </c>
      <c r="B189" t="s">
        <v>240</v>
      </c>
      <c r="C189" t="s">
        <v>138</v>
      </c>
      <c r="D189">
        <v>1</v>
      </c>
      <c r="E189" s="5" t="s">
        <v>370</v>
      </c>
      <c r="F189" s="5" t="s">
        <v>483</v>
      </c>
      <c r="G189" s="4">
        <v>45744</v>
      </c>
      <c r="H189" s="5">
        <f t="shared" si="52"/>
        <v>228000</v>
      </c>
      <c r="I189" s="5">
        <f t="shared" si="53"/>
        <v>123000</v>
      </c>
      <c r="J189" s="5">
        <f t="shared" si="54"/>
        <v>105000</v>
      </c>
      <c r="K189" s="8">
        <f t="shared" si="55"/>
        <v>0.46052631578947367</v>
      </c>
    </row>
    <row r="190" spans="1:11" hidden="1" x14ac:dyDescent="0.3">
      <c r="A190">
        <v>189</v>
      </c>
      <c r="B190" t="s">
        <v>290</v>
      </c>
      <c r="C190" t="s">
        <v>37</v>
      </c>
      <c r="D190">
        <v>1</v>
      </c>
      <c r="E190" s="5" t="s">
        <v>424</v>
      </c>
      <c r="F190" s="5" t="s">
        <v>446</v>
      </c>
      <c r="G190" s="4">
        <v>45830</v>
      </c>
    </row>
    <row r="191" spans="1:11" hidden="1" x14ac:dyDescent="0.3">
      <c r="A191">
        <v>190</v>
      </c>
      <c r="B191" t="s">
        <v>257</v>
      </c>
      <c r="C191" t="s">
        <v>138</v>
      </c>
      <c r="E191" s="5" t="s">
        <v>425</v>
      </c>
      <c r="F191" s="5" t="s">
        <v>393</v>
      </c>
      <c r="G191" s="4">
        <v>45681</v>
      </c>
    </row>
    <row r="192" spans="1:11" hidden="1" x14ac:dyDescent="0.3">
      <c r="A192">
        <v>191</v>
      </c>
      <c r="B192" t="s">
        <v>290</v>
      </c>
      <c r="C192" t="s">
        <v>89</v>
      </c>
      <c r="D192">
        <v>1</v>
      </c>
      <c r="E192" s="5" t="s">
        <v>330</v>
      </c>
      <c r="F192" s="5" t="s">
        <v>484</v>
      </c>
      <c r="G192" s="4">
        <v>45689</v>
      </c>
    </row>
    <row r="193" spans="1:11" x14ac:dyDescent="0.3">
      <c r="A193">
        <v>192</v>
      </c>
      <c r="B193" t="s">
        <v>258</v>
      </c>
      <c r="C193" t="s">
        <v>80</v>
      </c>
      <c r="D193">
        <v>3</v>
      </c>
      <c r="E193" s="5" t="s">
        <v>426</v>
      </c>
      <c r="F193" s="5" t="s">
        <v>397</v>
      </c>
      <c r="G193" s="4">
        <v>45820</v>
      </c>
      <c r="H193" s="5">
        <f t="shared" ref="H193:H203" si="56">D193*E193</f>
        <v>540000</v>
      </c>
      <c r="I193" s="5">
        <f t="shared" ref="I193:I203" si="57">D193*F193</f>
        <v>312000</v>
      </c>
      <c r="J193" s="5">
        <f t="shared" ref="J193:J203" si="58">H193-I193</f>
        <v>228000</v>
      </c>
      <c r="K193" s="8">
        <f t="shared" ref="K193:K203" si="59">J193/H193</f>
        <v>0.42222222222222222</v>
      </c>
    </row>
    <row r="194" spans="1:11" x14ac:dyDescent="0.3">
      <c r="A194">
        <v>193</v>
      </c>
      <c r="B194" t="s">
        <v>259</v>
      </c>
      <c r="C194" t="s">
        <v>80</v>
      </c>
      <c r="D194">
        <v>3</v>
      </c>
      <c r="E194" s="5" t="s">
        <v>427</v>
      </c>
      <c r="F194" s="5" t="s">
        <v>339</v>
      </c>
      <c r="G194" s="4">
        <v>46096</v>
      </c>
      <c r="H194" s="5">
        <f t="shared" si="56"/>
        <v>390000</v>
      </c>
      <c r="I194" s="5">
        <f t="shared" si="57"/>
        <v>297000</v>
      </c>
      <c r="J194" s="5">
        <f t="shared" si="58"/>
        <v>93000</v>
      </c>
      <c r="K194" s="8">
        <f t="shared" si="59"/>
        <v>0.23846153846153847</v>
      </c>
    </row>
    <row r="195" spans="1:11" x14ac:dyDescent="0.3">
      <c r="A195">
        <v>194</v>
      </c>
      <c r="B195" t="s">
        <v>260</v>
      </c>
      <c r="C195" t="s">
        <v>29</v>
      </c>
      <c r="D195">
        <v>1</v>
      </c>
      <c r="E195" s="5" t="s">
        <v>344</v>
      </c>
      <c r="F195" s="5" t="s">
        <v>449</v>
      </c>
      <c r="G195" s="4">
        <v>45778</v>
      </c>
      <c r="H195" s="5">
        <f t="shared" si="56"/>
        <v>54000</v>
      </c>
      <c r="I195" s="5">
        <f t="shared" si="57"/>
        <v>34000</v>
      </c>
      <c r="J195" s="5">
        <f t="shared" si="58"/>
        <v>20000</v>
      </c>
      <c r="K195" s="8">
        <f t="shared" si="59"/>
        <v>0.37037037037037035</v>
      </c>
    </row>
    <row r="196" spans="1:11" x14ac:dyDescent="0.3">
      <c r="A196">
        <v>195</v>
      </c>
      <c r="B196" t="s">
        <v>261</v>
      </c>
      <c r="C196" t="s">
        <v>50</v>
      </c>
      <c r="D196">
        <v>1</v>
      </c>
      <c r="E196" s="5" t="s">
        <v>428</v>
      </c>
      <c r="F196" s="5" t="s">
        <v>327</v>
      </c>
      <c r="G196" s="4">
        <v>45684</v>
      </c>
      <c r="H196" s="5">
        <f t="shared" si="56"/>
        <v>138000</v>
      </c>
      <c r="I196" s="5">
        <f t="shared" si="57"/>
        <v>95000</v>
      </c>
      <c r="J196" s="5">
        <f t="shared" si="58"/>
        <v>43000</v>
      </c>
      <c r="K196" s="8">
        <f t="shared" si="59"/>
        <v>0.31159420289855072</v>
      </c>
    </row>
    <row r="197" spans="1:11" x14ac:dyDescent="0.3">
      <c r="A197">
        <v>196</v>
      </c>
      <c r="B197" t="s">
        <v>262</v>
      </c>
      <c r="C197" t="s">
        <v>58</v>
      </c>
      <c r="D197">
        <v>1</v>
      </c>
      <c r="E197" s="5" t="s">
        <v>429</v>
      </c>
      <c r="F197" s="5" t="s">
        <v>401</v>
      </c>
      <c r="G197" s="4">
        <v>45985</v>
      </c>
      <c r="H197" s="5">
        <f t="shared" si="56"/>
        <v>32000</v>
      </c>
      <c r="I197" s="5">
        <f t="shared" si="57"/>
        <v>23000</v>
      </c>
      <c r="J197" s="5">
        <f t="shared" si="58"/>
        <v>9000</v>
      </c>
      <c r="K197" s="8">
        <f t="shared" si="59"/>
        <v>0.28125</v>
      </c>
    </row>
    <row r="198" spans="1:11" x14ac:dyDescent="0.3">
      <c r="A198">
        <v>197</v>
      </c>
      <c r="B198" t="s">
        <v>263</v>
      </c>
      <c r="C198" t="s">
        <v>26</v>
      </c>
      <c r="D198">
        <v>1</v>
      </c>
      <c r="E198" s="5" t="s">
        <v>409</v>
      </c>
      <c r="F198" s="5" t="s">
        <v>323</v>
      </c>
      <c r="G198" s="4">
        <v>45857</v>
      </c>
      <c r="H198" s="5">
        <f t="shared" si="56"/>
        <v>7000</v>
      </c>
      <c r="I198" s="5">
        <f t="shared" si="57"/>
        <v>4000</v>
      </c>
      <c r="J198" s="5">
        <f t="shared" si="58"/>
        <v>3000</v>
      </c>
      <c r="K198" s="8">
        <f t="shared" si="59"/>
        <v>0.42857142857142855</v>
      </c>
    </row>
    <row r="199" spans="1:11" x14ac:dyDescent="0.3">
      <c r="A199">
        <v>198</v>
      </c>
      <c r="B199" t="s">
        <v>264</v>
      </c>
      <c r="C199" t="s">
        <v>29</v>
      </c>
      <c r="D199">
        <v>1</v>
      </c>
      <c r="E199" s="5" t="s">
        <v>318</v>
      </c>
      <c r="F199" s="5" t="s">
        <v>356</v>
      </c>
      <c r="G199" s="4">
        <v>45864</v>
      </c>
      <c r="H199" s="5">
        <f t="shared" si="56"/>
        <v>64000</v>
      </c>
      <c r="I199" s="5">
        <f t="shared" si="57"/>
        <v>49000</v>
      </c>
      <c r="J199" s="5">
        <f t="shared" si="58"/>
        <v>15000</v>
      </c>
      <c r="K199" s="8">
        <f t="shared" si="59"/>
        <v>0.234375</v>
      </c>
    </row>
    <row r="200" spans="1:11" x14ac:dyDescent="0.3">
      <c r="A200">
        <v>199</v>
      </c>
      <c r="B200" t="s">
        <v>265</v>
      </c>
      <c r="C200" t="s">
        <v>41</v>
      </c>
      <c r="D200">
        <v>1</v>
      </c>
      <c r="E200" s="5" t="s">
        <v>367</v>
      </c>
      <c r="F200" s="5" t="s">
        <v>342</v>
      </c>
      <c r="G200" s="4">
        <v>45693</v>
      </c>
      <c r="H200" s="5">
        <f t="shared" si="56"/>
        <v>62000</v>
      </c>
      <c r="I200" s="5">
        <f t="shared" si="57"/>
        <v>45000</v>
      </c>
      <c r="J200" s="5">
        <f t="shared" si="58"/>
        <v>17000</v>
      </c>
      <c r="K200" s="8">
        <f t="shared" si="59"/>
        <v>0.27419354838709675</v>
      </c>
    </row>
    <row r="201" spans="1:11" x14ac:dyDescent="0.3">
      <c r="A201">
        <v>200</v>
      </c>
      <c r="B201" t="s">
        <v>23</v>
      </c>
      <c r="C201" t="s">
        <v>16</v>
      </c>
      <c r="D201">
        <v>1</v>
      </c>
      <c r="E201" s="5" t="s">
        <v>430</v>
      </c>
      <c r="F201" s="5" t="s">
        <v>485</v>
      </c>
      <c r="G201" s="4">
        <v>46118</v>
      </c>
      <c r="H201" s="5">
        <f t="shared" si="56"/>
        <v>334000</v>
      </c>
      <c r="I201" s="5">
        <f t="shared" si="57"/>
        <v>183000</v>
      </c>
      <c r="J201" s="5">
        <f t="shared" si="58"/>
        <v>151000</v>
      </c>
      <c r="K201" s="8">
        <f t="shared" si="59"/>
        <v>0.45209580838323354</v>
      </c>
    </row>
    <row r="202" spans="1:11" x14ac:dyDescent="0.3">
      <c r="A202">
        <v>201</v>
      </c>
      <c r="B202" t="s">
        <v>267</v>
      </c>
      <c r="C202" t="s">
        <v>122</v>
      </c>
      <c r="D202">
        <v>2</v>
      </c>
      <c r="E202" s="5" t="s">
        <v>431</v>
      </c>
      <c r="F202" s="5" t="s">
        <v>333</v>
      </c>
      <c r="G202" s="4">
        <v>45683</v>
      </c>
      <c r="H202" s="5">
        <f t="shared" si="56"/>
        <v>118000</v>
      </c>
      <c r="I202" s="5">
        <f t="shared" si="57"/>
        <v>62000</v>
      </c>
      <c r="J202" s="5">
        <f t="shared" si="58"/>
        <v>56000</v>
      </c>
      <c r="K202" s="8">
        <f t="shared" si="59"/>
        <v>0.47457627118644069</v>
      </c>
    </row>
    <row r="203" spans="1:11" x14ac:dyDescent="0.3">
      <c r="A203">
        <v>202</v>
      </c>
      <c r="B203" t="s">
        <v>95</v>
      </c>
      <c r="C203" t="s">
        <v>8</v>
      </c>
      <c r="D203">
        <v>1</v>
      </c>
      <c r="E203" s="5" t="s">
        <v>359</v>
      </c>
      <c r="F203" s="5" t="s">
        <v>434</v>
      </c>
      <c r="G203" s="4">
        <v>45724</v>
      </c>
      <c r="H203" s="5">
        <f t="shared" si="56"/>
        <v>239000</v>
      </c>
      <c r="I203" s="5">
        <f t="shared" si="57"/>
        <v>133000</v>
      </c>
      <c r="J203" s="5">
        <f t="shared" si="58"/>
        <v>106000</v>
      </c>
      <c r="K203" s="8">
        <f t="shared" si="59"/>
        <v>0.44351464435146443</v>
      </c>
    </row>
    <row r="204" spans="1:11" hidden="1" x14ac:dyDescent="0.3">
      <c r="A204">
        <v>203</v>
      </c>
      <c r="B204" t="s">
        <v>268</v>
      </c>
      <c r="C204" t="s">
        <v>16</v>
      </c>
      <c r="D204">
        <v>3</v>
      </c>
      <c r="E204" s="5" t="s">
        <v>432</v>
      </c>
      <c r="F204" s="5" t="s">
        <v>486</v>
      </c>
    </row>
    <row r="205" spans="1:11" x14ac:dyDescent="0.3">
      <c r="A205">
        <v>204</v>
      </c>
      <c r="B205" t="s">
        <v>270</v>
      </c>
      <c r="C205" t="s">
        <v>122</v>
      </c>
      <c r="D205">
        <v>1</v>
      </c>
      <c r="E205" s="5" t="s">
        <v>367</v>
      </c>
      <c r="F205" s="5" t="s">
        <v>271</v>
      </c>
      <c r="G205" s="4">
        <v>46009</v>
      </c>
      <c r="H205" s="5">
        <f t="shared" ref="H205:H211" si="60">D205*E205</f>
        <v>62000</v>
      </c>
      <c r="I205" s="5">
        <f t="shared" ref="I205:I211" si="61">D205*F205</f>
        <v>48000</v>
      </c>
      <c r="J205" s="5">
        <f t="shared" ref="J205:J211" si="62">H205-I205</f>
        <v>14000</v>
      </c>
      <c r="K205" s="8">
        <f t="shared" ref="K205:K211" si="63">J205/H205</f>
        <v>0.22580645161290322</v>
      </c>
    </row>
    <row r="206" spans="1:11" x14ac:dyDescent="0.3">
      <c r="A206">
        <v>205</v>
      </c>
      <c r="B206" t="s">
        <v>109</v>
      </c>
      <c r="C206" t="s">
        <v>80</v>
      </c>
      <c r="D206">
        <v>2</v>
      </c>
      <c r="E206" s="5" t="s">
        <v>369</v>
      </c>
      <c r="F206" s="5" t="s">
        <v>388</v>
      </c>
      <c r="G206" s="4">
        <v>46097</v>
      </c>
      <c r="H206" s="5">
        <f t="shared" si="60"/>
        <v>182000</v>
      </c>
      <c r="I206" s="5">
        <f t="shared" si="61"/>
        <v>100000</v>
      </c>
      <c r="J206" s="5">
        <f t="shared" si="62"/>
        <v>82000</v>
      </c>
      <c r="K206" s="8">
        <f t="shared" si="63"/>
        <v>0.45054945054945056</v>
      </c>
    </row>
    <row r="207" spans="1:11" x14ac:dyDescent="0.3">
      <c r="A207">
        <v>206</v>
      </c>
      <c r="B207" t="s">
        <v>272</v>
      </c>
      <c r="C207" t="s">
        <v>26</v>
      </c>
      <c r="D207">
        <v>1</v>
      </c>
      <c r="E207" s="5" t="s">
        <v>433</v>
      </c>
      <c r="F207" s="5" t="s">
        <v>323</v>
      </c>
      <c r="G207" s="4">
        <v>45942</v>
      </c>
      <c r="H207" s="5">
        <f t="shared" si="60"/>
        <v>5000</v>
      </c>
      <c r="I207" s="5">
        <f t="shared" si="61"/>
        <v>4000</v>
      </c>
      <c r="J207" s="5">
        <f t="shared" si="62"/>
        <v>1000</v>
      </c>
      <c r="K207" s="8">
        <f t="shared" si="63"/>
        <v>0.2</v>
      </c>
    </row>
    <row r="208" spans="1:11" x14ac:dyDescent="0.3">
      <c r="A208">
        <v>207</v>
      </c>
      <c r="B208" t="s">
        <v>273</v>
      </c>
      <c r="C208" t="s">
        <v>308</v>
      </c>
      <c r="D208">
        <v>2</v>
      </c>
      <c r="E208" s="5" t="s">
        <v>434</v>
      </c>
      <c r="F208" s="5" t="s">
        <v>419</v>
      </c>
      <c r="G208" s="4">
        <v>46094</v>
      </c>
      <c r="H208" s="5">
        <f t="shared" si="60"/>
        <v>266000</v>
      </c>
      <c r="I208" s="5">
        <f t="shared" si="61"/>
        <v>156000</v>
      </c>
      <c r="J208" s="5">
        <f t="shared" si="62"/>
        <v>110000</v>
      </c>
      <c r="K208" s="8">
        <f t="shared" si="63"/>
        <v>0.41353383458646614</v>
      </c>
    </row>
    <row r="209" spans="1:11" x14ac:dyDescent="0.3">
      <c r="A209">
        <v>208</v>
      </c>
      <c r="B209" t="s">
        <v>274</v>
      </c>
      <c r="C209" t="s">
        <v>80</v>
      </c>
      <c r="D209">
        <v>1</v>
      </c>
      <c r="E209" s="5" t="s">
        <v>435</v>
      </c>
      <c r="F209" s="5" t="s">
        <v>368</v>
      </c>
      <c r="G209" s="4">
        <v>45704</v>
      </c>
      <c r="H209" s="5">
        <f t="shared" si="60"/>
        <v>167000</v>
      </c>
      <c r="I209" s="5">
        <f t="shared" si="61"/>
        <v>93000</v>
      </c>
      <c r="J209" s="5">
        <f t="shared" si="62"/>
        <v>74000</v>
      </c>
      <c r="K209" s="8">
        <f t="shared" si="63"/>
        <v>0.44311377245508982</v>
      </c>
    </row>
    <row r="210" spans="1:11" x14ac:dyDescent="0.3">
      <c r="A210">
        <v>209</v>
      </c>
      <c r="B210" t="s">
        <v>275</v>
      </c>
      <c r="C210" t="s">
        <v>26</v>
      </c>
      <c r="D210">
        <v>1</v>
      </c>
      <c r="E210" s="5" t="s">
        <v>409</v>
      </c>
      <c r="F210" s="5" t="s">
        <v>323</v>
      </c>
      <c r="G210" s="4">
        <v>46226</v>
      </c>
      <c r="H210" s="5">
        <f t="shared" si="60"/>
        <v>7000</v>
      </c>
      <c r="I210" s="5">
        <f t="shared" si="61"/>
        <v>4000</v>
      </c>
      <c r="J210" s="5">
        <f t="shared" si="62"/>
        <v>3000</v>
      </c>
      <c r="K210" s="8">
        <f t="shared" si="63"/>
        <v>0.42857142857142855</v>
      </c>
    </row>
    <row r="211" spans="1:11" x14ac:dyDescent="0.3">
      <c r="A211">
        <v>210</v>
      </c>
      <c r="B211" t="s">
        <v>276</v>
      </c>
      <c r="C211" t="s">
        <v>80</v>
      </c>
      <c r="D211">
        <v>1</v>
      </c>
      <c r="E211" s="5" t="s">
        <v>436</v>
      </c>
      <c r="F211" s="5" t="s">
        <v>470</v>
      </c>
      <c r="G211" s="4">
        <v>45912</v>
      </c>
      <c r="H211" s="5">
        <f t="shared" si="60"/>
        <v>184000</v>
      </c>
      <c r="I211" s="5">
        <f t="shared" si="61"/>
        <v>121000</v>
      </c>
      <c r="J211" s="5">
        <f t="shared" si="62"/>
        <v>63000</v>
      </c>
      <c r="K211" s="8">
        <f t="shared" si="63"/>
        <v>0.34239130434782611</v>
      </c>
    </row>
    <row r="215" spans="1:11" x14ac:dyDescent="0.3">
      <c r="A215" t="s">
        <v>491</v>
      </c>
    </row>
  </sheetData>
  <autoFilter ref="A1:G211" xr:uid="{00000000-0009-0000-0000-000000000000}">
    <filterColumn colId="1">
      <customFilters>
        <customFilter operator="notEqual" val=" "/>
      </customFilters>
    </filterColumn>
    <filterColumn colId="3">
      <customFilters>
        <customFilter operator="notEqual" val=" "/>
      </customFilters>
    </filterColumn>
    <filterColumn colId="6">
      <customFilters>
        <customFilter operator="notEqual" val=" "/>
      </customFilters>
    </filterColumn>
  </autoFilter>
  <pageMargins left="0.75" right="0.75" top="1" bottom="1" header="0.5" footer="0.5"/>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EA0A5B-F6F6-412B-881E-D8FC845A31FC}">
  <dimension ref="A1:G211"/>
  <sheetViews>
    <sheetView workbookViewId="0">
      <pane ySplit="1" topLeftCell="A2" activePane="bottomLeft" state="frozen"/>
      <selection pane="bottomLeft" activeCell="H25" sqref="H25"/>
    </sheetView>
  </sheetViews>
  <sheetFormatPr defaultRowHeight="14.4" x14ac:dyDescent="0.3"/>
  <sheetData>
    <row r="1" spans="1:7" ht="43.2" x14ac:dyDescent="0.3">
      <c r="A1" s="2" t="s">
        <v>0</v>
      </c>
      <c r="B1" s="2" t="s">
        <v>1</v>
      </c>
      <c r="C1" s="2" t="s">
        <v>2</v>
      </c>
      <c r="D1" s="2" t="s">
        <v>3</v>
      </c>
      <c r="E1" s="2" t="s">
        <v>4</v>
      </c>
      <c r="F1" s="2" t="s">
        <v>5</v>
      </c>
      <c r="G1" s="2" t="s">
        <v>6</v>
      </c>
    </row>
    <row r="2" spans="1:7" x14ac:dyDescent="0.3">
      <c r="A2">
        <v>31</v>
      </c>
      <c r="B2" t="s">
        <v>7</v>
      </c>
      <c r="C2" t="s">
        <v>8</v>
      </c>
      <c r="D2">
        <v>1</v>
      </c>
      <c r="E2">
        <v>206000</v>
      </c>
      <c r="F2">
        <v>118000</v>
      </c>
      <c r="G2" s="3">
        <v>46211</v>
      </c>
    </row>
    <row r="3" spans="1:7" x14ac:dyDescent="0.3">
      <c r="A3">
        <v>173</v>
      </c>
      <c r="B3" t="s">
        <v>9</v>
      </c>
      <c r="C3" t="s">
        <v>10</v>
      </c>
      <c r="D3">
        <v>2</v>
      </c>
      <c r="E3">
        <v>154000</v>
      </c>
      <c r="F3">
        <v>116000</v>
      </c>
      <c r="G3" s="3">
        <v>46028</v>
      </c>
    </row>
    <row r="4" spans="1:7" x14ac:dyDescent="0.3">
      <c r="A4">
        <v>85</v>
      </c>
      <c r="B4" t="s">
        <v>11</v>
      </c>
      <c r="C4" t="s">
        <v>12</v>
      </c>
      <c r="D4">
        <v>1</v>
      </c>
      <c r="E4">
        <v>111000</v>
      </c>
      <c r="F4">
        <v>68000</v>
      </c>
      <c r="G4" s="3">
        <v>45713</v>
      </c>
    </row>
    <row r="5" spans="1:7" x14ac:dyDescent="0.3">
      <c r="A5">
        <v>200</v>
      </c>
      <c r="B5" t="s">
        <v>13</v>
      </c>
      <c r="C5" t="s">
        <v>14</v>
      </c>
      <c r="D5">
        <v>1</v>
      </c>
      <c r="E5">
        <v>64000</v>
      </c>
      <c r="F5">
        <v>36000</v>
      </c>
      <c r="G5" s="3">
        <v>46089</v>
      </c>
    </row>
    <row r="6" spans="1:7" x14ac:dyDescent="0.3">
      <c r="A6">
        <v>61</v>
      </c>
      <c r="B6" t="s">
        <v>15</v>
      </c>
      <c r="C6" t="s">
        <v>16</v>
      </c>
      <c r="D6">
        <v>1</v>
      </c>
      <c r="E6" t="s">
        <v>17</v>
      </c>
      <c r="F6">
        <v>141000</v>
      </c>
      <c r="G6" s="3">
        <v>45780</v>
      </c>
    </row>
    <row r="7" spans="1:7" x14ac:dyDescent="0.3">
      <c r="A7">
        <v>156</v>
      </c>
      <c r="B7" t="s">
        <v>18</v>
      </c>
      <c r="C7" t="s">
        <v>19</v>
      </c>
      <c r="E7">
        <v>76000</v>
      </c>
      <c r="F7">
        <v>59000</v>
      </c>
      <c r="G7" s="3">
        <v>46035</v>
      </c>
    </row>
    <row r="8" spans="1:7" x14ac:dyDescent="0.3">
      <c r="A8">
        <v>46</v>
      </c>
      <c r="B8" t="s">
        <v>20</v>
      </c>
      <c r="C8" t="s">
        <v>21</v>
      </c>
      <c r="D8">
        <v>3</v>
      </c>
      <c r="E8">
        <v>38000</v>
      </c>
      <c r="F8">
        <v>27000</v>
      </c>
      <c r="G8" s="3">
        <v>45821</v>
      </c>
    </row>
    <row r="9" spans="1:7" x14ac:dyDescent="0.3">
      <c r="A9">
        <v>183</v>
      </c>
      <c r="B9" t="s">
        <v>22</v>
      </c>
      <c r="C9" t="s">
        <v>12</v>
      </c>
      <c r="D9">
        <v>2</v>
      </c>
      <c r="E9">
        <v>211000</v>
      </c>
      <c r="F9">
        <v>161000</v>
      </c>
      <c r="G9" s="3">
        <v>45760</v>
      </c>
    </row>
    <row r="10" spans="1:7" x14ac:dyDescent="0.3">
      <c r="A10">
        <v>10</v>
      </c>
      <c r="B10" t="s">
        <v>23</v>
      </c>
      <c r="C10" t="s">
        <v>10</v>
      </c>
      <c r="D10" t="s">
        <v>24</v>
      </c>
      <c r="E10">
        <v>172000</v>
      </c>
      <c r="F10">
        <v>127000</v>
      </c>
      <c r="G10" s="3">
        <v>45886</v>
      </c>
    </row>
    <row r="11" spans="1:7" x14ac:dyDescent="0.3">
      <c r="A11">
        <v>197</v>
      </c>
      <c r="B11" t="s">
        <v>25</v>
      </c>
      <c r="C11" t="s">
        <v>26</v>
      </c>
      <c r="D11">
        <v>2</v>
      </c>
      <c r="E11">
        <v>4000</v>
      </c>
      <c r="F11">
        <v>2000</v>
      </c>
      <c r="G11" s="3">
        <v>45784</v>
      </c>
    </row>
    <row r="12" spans="1:7" x14ac:dyDescent="0.3">
      <c r="A12">
        <v>137</v>
      </c>
      <c r="B12" t="s">
        <v>27</v>
      </c>
      <c r="C12" t="s">
        <v>10</v>
      </c>
      <c r="D12">
        <v>2</v>
      </c>
      <c r="E12">
        <v>198000</v>
      </c>
      <c r="F12">
        <v>137000</v>
      </c>
      <c r="G12" s="3">
        <v>45991</v>
      </c>
    </row>
    <row r="13" spans="1:7" x14ac:dyDescent="0.3">
      <c r="A13">
        <v>188</v>
      </c>
      <c r="B13" t="s">
        <v>28</v>
      </c>
      <c r="C13" t="s">
        <v>29</v>
      </c>
      <c r="D13">
        <v>1</v>
      </c>
      <c r="E13">
        <v>71000</v>
      </c>
      <c r="F13" t="s">
        <v>30</v>
      </c>
      <c r="G13" s="3">
        <v>46232</v>
      </c>
    </row>
    <row r="14" spans="1:7" x14ac:dyDescent="0.3">
      <c r="A14">
        <v>64</v>
      </c>
      <c r="B14" t="s">
        <v>31</v>
      </c>
      <c r="C14" t="s">
        <v>32</v>
      </c>
      <c r="D14">
        <v>2</v>
      </c>
      <c r="E14">
        <v>290000</v>
      </c>
      <c r="F14">
        <v>157000</v>
      </c>
      <c r="G14" s="3">
        <v>45969</v>
      </c>
    </row>
    <row r="15" spans="1:7" x14ac:dyDescent="0.3">
      <c r="A15">
        <v>127</v>
      </c>
      <c r="B15" t="s">
        <v>33</v>
      </c>
      <c r="C15" t="s">
        <v>14</v>
      </c>
      <c r="D15">
        <v>1</v>
      </c>
      <c r="E15">
        <v>95000</v>
      </c>
      <c r="F15">
        <v>68000</v>
      </c>
      <c r="G15" s="3">
        <v>46188</v>
      </c>
    </row>
    <row r="16" spans="1:7" x14ac:dyDescent="0.3">
      <c r="A16">
        <v>16</v>
      </c>
      <c r="B16" t="s">
        <v>34</v>
      </c>
      <c r="C16" t="s">
        <v>35</v>
      </c>
      <c r="D16">
        <v>5</v>
      </c>
      <c r="E16">
        <v>248000</v>
      </c>
      <c r="F16">
        <v>169000</v>
      </c>
      <c r="G16" s="3">
        <v>46228</v>
      </c>
    </row>
    <row r="17" spans="1:7" x14ac:dyDescent="0.3">
      <c r="A17">
        <v>74</v>
      </c>
      <c r="B17" t="s">
        <v>36</v>
      </c>
      <c r="C17" t="s">
        <v>37</v>
      </c>
      <c r="E17">
        <v>79000</v>
      </c>
      <c r="F17">
        <v>48000</v>
      </c>
      <c r="G17" s="3">
        <v>46115</v>
      </c>
    </row>
    <row r="18" spans="1:7" x14ac:dyDescent="0.3">
      <c r="A18">
        <v>166</v>
      </c>
      <c r="B18" t="s">
        <v>38</v>
      </c>
      <c r="C18" t="s">
        <v>39</v>
      </c>
      <c r="D18">
        <v>2</v>
      </c>
      <c r="E18">
        <v>139000</v>
      </c>
      <c r="F18">
        <v>76000</v>
      </c>
      <c r="G18" s="3">
        <v>46079</v>
      </c>
    </row>
    <row r="19" spans="1:7" x14ac:dyDescent="0.3">
      <c r="A19">
        <v>19</v>
      </c>
      <c r="B19" t="s">
        <v>40</v>
      </c>
      <c r="C19" t="s">
        <v>41</v>
      </c>
      <c r="D19">
        <v>3</v>
      </c>
      <c r="E19">
        <v>88000</v>
      </c>
      <c r="F19">
        <v>65000</v>
      </c>
      <c r="G19" s="3">
        <v>46181</v>
      </c>
    </row>
    <row r="20" spans="1:7" x14ac:dyDescent="0.3">
      <c r="A20">
        <v>169</v>
      </c>
      <c r="B20" t="s">
        <v>42</v>
      </c>
      <c r="C20" t="s">
        <v>8</v>
      </c>
      <c r="D20">
        <v>3</v>
      </c>
      <c r="E20">
        <v>168000</v>
      </c>
      <c r="F20" t="s">
        <v>43</v>
      </c>
      <c r="G20" s="3">
        <v>45755</v>
      </c>
    </row>
    <row r="21" spans="1:7" x14ac:dyDescent="0.3">
      <c r="A21">
        <v>94</v>
      </c>
      <c r="B21" t="s">
        <v>44</v>
      </c>
      <c r="C21" t="s">
        <v>45</v>
      </c>
      <c r="D21">
        <v>1</v>
      </c>
      <c r="E21">
        <v>31000</v>
      </c>
      <c r="F21">
        <v>19000</v>
      </c>
      <c r="G21" s="3">
        <v>45674</v>
      </c>
    </row>
    <row r="22" spans="1:7" x14ac:dyDescent="0.3">
      <c r="A22">
        <v>76</v>
      </c>
      <c r="B22" t="s">
        <v>46</v>
      </c>
      <c r="C22" t="s">
        <v>19</v>
      </c>
      <c r="D22" t="s">
        <v>24</v>
      </c>
      <c r="E22">
        <v>82000</v>
      </c>
      <c r="F22">
        <v>46000</v>
      </c>
      <c r="G22" s="3">
        <v>45945</v>
      </c>
    </row>
    <row r="23" spans="1:7" x14ac:dyDescent="0.3">
      <c r="A23">
        <v>56</v>
      </c>
      <c r="B23" t="s">
        <v>47</v>
      </c>
      <c r="C23" t="s">
        <v>37</v>
      </c>
      <c r="D23">
        <v>3</v>
      </c>
      <c r="E23">
        <v>94000</v>
      </c>
      <c r="F23">
        <v>71000</v>
      </c>
    </row>
    <row r="24" spans="1:7" x14ac:dyDescent="0.3">
      <c r="A24">
        <v>148</v>
      </c>
      <c r="B24" t="s">
        <v>48</v>
      </c>
      <c r="C24" t="s">
        <v>37</v>
      </c>
      <c r="D24">
        <v>1</v>
      </c>
      <c r="E24">
        <v>89000</v>
      </c>
      <c r="F24">
        <v>49000</v>
      </c>
      <c r="G24" s="3">
        <v>45808</v>
      </c>
    </row>
    <row r="25" spans="1:7" x14ac:dyDescent="0.3">
      <c r="A25">
        <v>110</v>
      </c>
      <c r="B25" t="s">
        <v>49</v>
      </c>
      <c r="C25" t="s">
        <v>50</v>
      </c>
      <c r="D25">
        <v>1</v>
      </c>
      <c r="E25">
        <v>126000</v>
      </c>
      <c r="F25">
        <v>95000</v>
      </c>
      <c r="G25" s="3">
        <v>45716</v>
      </c>
    </row>
    <row r="26" spans="1:7" x14ac:dyDescent="0.3">
      <c r="A26">
        <v>109</v>
      </c>
      <c r="B26" t="s">
        <v>51</v>
      </c>
      <c r="C26" t="s">
        <v>52</v>
      </c>
      <c r="E26">
        <v>81000</v>
      </c>
      <c r="F26">
        <v>57000</v>
      </c>
      <c r="G26" s="3">
        <v>45714</v>
      </c>
    </row>
    <row r="27" spans="1:7" x14ac:dyDescent="0.3">
      <c r="A27" t="s">
        <v>53</v>
      </c>
      <c r="B27" t="s">
        <v>54</v>
      </c>
      <c r="C27" t="s">
        <v>55</v>
      </c>
      <c r="D27">
        <v>3</v>
      </c>
      <c r="E27">
        <v>99000</v>
      </c>
      <c r="F27">
        <v>63000</v>
      </c>
      <c r="G27" s="3">
        <v>46216</v>
      </c>
    </row>
    <row r="28" spans="1:7" x14ac:dyDescent="0.3">
      <c r="A28">
        <v>26</v>
      </c>
      <c r="B28" t="s">
        <v>56</v>
      </c>
      <c r="C28" t="s">
        <v>50</v>
      </c>
      <c r="D28">
        <v>1</v>
      </c>
      <c r="E28">
        <v>73000</v>
      </c>
      <c r="F28">
        <v>51000</v>
      </c>
      <c r="G28" s="3">
        <v>45887</v>
      </c>
    </row>
    <row r="29" spans="1:7" x14ac:dyDescent="0.3">
      <c r="A29">
        <v>126</v>
      </c>
      <c r="B29" t="s">
        <v>57</v>
      </c>
      <c r="C29" t="s">
        <v>58</v>
      </c>
      <c r="D29">
        <v>2</v>
      </c>
      <c r="E29">
        <v>40000</v>
      </c>
      <c r="F29">
        <v>26000</v>
      </c>
      <c r="G29" s="3">
        <v>45699</v>
      </c>
    </row>
    <row r="30" spans="1:7" x14ac:dyDescent="0.3">
      <c r="A30">
        <v>17</v>
      </c>
      <c r="B30" t="s">
        <v>59</v>
      </c>
      <c r="C30" t="s">
        <v>55</v>
      </c>
      <c r="D30" t="s">
        <v>24</v>
      </c>
      <c r="E30" t="s">
        <v>60</v>
      </c>
      <c r="F30">
        <v>27000</v>
      </c>
      <c r="G30" s="3">
        <v>45935</v>
      </c>
    </row>
    <row r="31" spans="1:7" x14ac:dyDescent="0.3">
      <c r="A31">
        <v>174</v>
      </c>
      <c r="B31" t="s">
        <v>61</v>
      </c>
      <c r="C31" t="s">
        <v>62</v>
      </c>
      <c r="D31">
        <v>1</v>
      </c>
      <c r="E31">
        <v>110000</v>
      </c>
      <c r="F31">
        <v>69000</v>
      </c>
      <c r="G31" s="3">
        <v>45791</v>
      </c>
    </row>
    <row r="32" spans="1:7" x14ac:dyDescent="0.3">
      <c r="A32">
        <v>193</v>
      </c>
      <c r="B32" t="s">
        <v>63</v>
      </c>
      <c r="C32" t="s">
        <v>52</v>
      </c>
      <c r="D32">
        <v>1</v>
      </c>
      <c r="E32">
        <v>54000</v>
      </c>
      <c r="F32">
        <v>40000</v>
      </c>
      <c r="G32" s="3">
        <v>45940</v>
      </c>
    </row>
    <row r="33" spans="1:7" x14ac:dyDescent="0.3">
      <c r="A33">
        <v>70</v>
      </c>
      <c r="B33" t="s">
        <v>64</v>
      </c>
      <c r="C33" t="s">
        <v>50</v>
      </c>
      <c r="D33">
        <v>1</v>
      </c>
      <c r="E33">
        <v>90000</v>
      </c>
      <c r="F33">
        <v>67000</v>
      </c>
      <c r="G33" s="3">
        <v>45736</v>
      </c>
    </row>
    <row r="34" spans="1:7" x14ac:dyDescent="0.3">
      <c r="A34">
        <v>102</v>
      </c>
      <c r="B34" t="s">
        <v>65</v>
      </c>
      <c r="C34" t="s">
        <v>8</v>
      </c>
      <c r="D34">
        <v>1</v>
      </c>
      <c r="E34">
        <v>124000</v>
      </c>
      <c r="F34">
        <v>94000</v>
      </c>
      <c r="G34" s="3">
        <v>45975</v>
      </c>
    </row>
    <row r="35" spans="1:7" x14ac:dyDescent="0.3">
      <c r="A35">
        <v>68</v>
      </c>
      <c r="B35" t="s">
        <v>66</v>
      </c>
      <c r="C35" t="s">
        <v>14</v>
      </c>
      <c r="D35">
        <v>1</v>
      </c>
      <c r="E35">
        <v>111000</v>
      </c>
      <c r="F35">
        <v>67000</v>
      </c>
      <c r="G35" s="3">
        <v>45748</v>
      </c>
    </row>
    <row r="36" spans="1:7" x14ac:dyDescent="0.3">
      <c r="A36">
        <v>105</v>
      </c>
      <c r="B36" t="s">
        <v>7</v>
      </c>
      <c r="C36" t="s">
        <v>67</v>
      </c>
      <c r="D36">
        <v>2</v>
      </c>
      <c r="E36">
        <v>153000</v>
      </c>
      <c r="F36">
        <v>82000</v>
      </c>
      <c r="G36" s="3">
        <v>46157</v>
      </c>
    </row>
    <row r="37" spans="1:7" x14ac:dyDescent="0.3">
      <c r="A37">
        <v>133</v>
      </c>
      <c r="B37" t="s">
        <v>68</v>
      </c>
      <c r="C37" t="s">
        <v>29</v>
      </c>
      <c r="D37">
        <v>4</v>
      </c>
      <c r="E37">
        <v>61000</v>
      </c>
      <c r="F37">
        <v>34000</v>
      </c>
      <c r="G37" s="3">
        <v>46226</v>
      </c>
    </row>
    <row r="38" spans="1:7" x14ac:dyDescent="0.3">
      <c r="A38">
        <v>181</v>
      </c>
      <c r="C38" t="s">
        <v>29</v>
      </c>
      <c r="D38">
        <v>3</v>
      </c>
      <c r="E38">
        <v>48000</v>
      </c>
      <c r="F38">
        <v>32000</v>
      </c>
      <c r="G38" s="3">
        <v>46126</v>
      </c>
    </row>
    <row r="39" spans="1:7" x14ac:dyDescent="0.3">
      <c r="A39">
        <v>96</v>
      </c>
      <c r="B39" t="s">
        <v>69</v>
      </c>
      <c r="C39" t="s">
        <v>70</v>
      </c>
      <c r="D39">
        <v>1</v>
      </c>
      <c r="E39">
        <v>253000</v>
      </c>
      <c r="F39">
        <v>134000</v>
      </c>
      <c r="G39" s="3">
        <v>46157</v>
      </c>
    </row>
    <row r="40" spans="1:7" x14ac:dyDescent="0.3">
      <c r="A40">
        <v>83</v>
      </c>
      <c r="B40" t="s">
        <v>71</v>
      </c>
      <c r="C40" t="s">
        <v>72</v>
      </c>
      <c r="D40">
        <v>1</v>
      </c>
      <c r="E40">
        <v>89000</v>
      </c>
      <c r="F40">
        <v>59000</v>
      </c>
      <c r="G40" s="3">
        <v>45831</v>
      </c>
    </row>
    <row r="41" spans="1:7" x14ac:dyDescent="0.3">
      <c r="A41">
        <v>160</v>
      </c>
      <c r="B41" t="s">
        <v>73</v>
      </c>
      <c r="C41" t="s">
        <v>14</v>
      </c>
      <c r="D41">
        <v>4</v>
      </c>
      <c r="E41" t="s">
        <v>74</v>
      </c>
      <c r="F41">
        <v>48000</v>
      </c>
      <c r="G41" s="3">
        <v>46232</v>
      </c>
    </row>
    <row r="42" spans="1:7" x14ac:dyDescent="0.3">
      <c r="A42">
        <v>198</v>
      </c>
      <c r="B42" t="s">
        <v>75</v>
      </c>
      <c r="C42" t="s">
        <v>76</v>
      </c>
      <c r="D42">
        <v>1</v>
      </c>
      <c r="E42">
        <v>72000</v>
      </c>
      <c r="F42" t="s">
        <v>77</v>
      </c>
      <c r="G42" s="3">
        <v>46174</v>
      </c>
    </row>
    <row r="43" spans="1:7" x14ac:dyDescent="0.3">
      <c r="A43">
        <v>163</v>
      </c>
      <c r="B43" t="s">
        <v>78</v>
      </c>
      <c r="C43" t="s">
        <v>14</v>
      </c>
      <c r="D43">
        <v>1</v>
      </c>
      <c r="E43">
        <v>96000</v>
      </c>
      <c r="F43">
        <v>52000</v>
      </c>
      <c r="G43" s="3">
        <v>45971</v>
      </c>
    </row>
    <row r="44" spans="1:7" x14ac:dyDescent="0.3">
      <c r="A44">
        <v>151</v>
      </c>
      <c r="B44" t="s">
        <v>79</v>
      </c>
      <c r="C44" t="s">
        <v>80</v>
      </c>
      <c r="D44">
        <v>1</v>
      </c>
      <c r="E44">
        <v>206000</v>
      </c>
      <c r="F44">
        <v>115000</v>
      </c>
      <c r="G44" s="3">
        <v>45771</v>
      </c>
    </row>
    <row r="45" spans="1:7" x14ac:dyDescent="0.3">
      <c r="A45">
        <v>97</v>
      </c>
      <c r="B45" t="s">
        <v>81</v>
      </c>
      <c r="C45" t="s">
        <v>14</v>
      </c>
      <c r="D45">
        <v>1</v>
      </c>
      <c r="E45">
        <v>89000</v>
      </c>
      <c r="F45">
        <v>62000</v>
      </c>
      <c r="G45" s="3">
        <v>45947</v>
      </c>
    </row>
    <row r="46" spans="1:7" x14ac:dyDescent="0.3">
      <c r="A46">
        <v>201</v>
      </c>
      <c r="B46" t="s">
        <v>82</v>
      </c>
      <c r="C46" t="s">
        <v>83</v>
      </c>
      <c r="D46">
        <v>1</v>
      </c>
      <c r="E46">
        <v>6000</v>
      </c>
      <c r="F46">
        <v>5000</v>
      </c>
      <c r="G46" s="3">
        <v>46133</v>
      </c>
    </row>
    <row r="47" spans="1:7" x14ac:dyDescent="0.3">
      <c r="A47">
        <v>69</v>
      </c>
      <c r="B47" t="s">
        <v>84</v>
      </c>
      <c r="C47" t="s">
        <v>26</v>
      </c>
      <c r="D47">
        <v>1</v>
      </c>
      <c r="E47">
        <v>8000</v>
      </c>
      <c r="F47">
        <v>5000</v>
      </c>
      <c r="G47" s="3">
        <v>45979</v>
      </c>
    </row>
    <row r="48" spans="1:7" x14ac:dyDescent="0.3">
      <c r="A48">
        <v>157</v>
      </c>
      <c r="B48" t="s">
        <v>85</v>
      </c>
      <c r="C48" t="s">
        <v>86</v>
      </c>
      <c r="D48">
        <v>1</v>
      </c>
      <c r="E48">
        <v>40000</v>
      </c>
      <c r="F48">
        <v>22000</v>
      </c>
      <c r="G48" s="3">
        <v>45867</v>
      </c>
    </row>
    <row r="49" spans="1:7" x14ac:dyDescent="0.3">
      <c r="A49">
        <v>87</v>
      </c>
      <c r="B49" t="s">
        <v>87</v>
      </c>
      <c r="C49" t="s">
        <v>88</v>
      </c>
      <c r="D49">
        <v>1</v>
      </c>
      <c r="E49">
        <v>61000</v>
      </c>
      <c r="F49">
        <v>44000</v>
      </c>
      <c r="G49" s="3">
        <v>45715</v>
      </c>
    </row>
    <row r="50" spans="1:7" x14ac:dyDescent="0.3">
      <c r="A50">
        <v>101</v>
      </c>
      <c r="B50" t="s">
        <v>48</v>
      </c>
      <c r="C50" t="s">
        <v>89</v>
      </c>
      <c r="D50">
        <v>1</v>
      </c>
      <c r="E50">
        <v>177000</v>
      </c>
      <c r="F50">
        <v>119000</v>
      </c>
      <c r="G50" s="3">
        <v>46164</v>
      </c>
    </row>
    <row r="51" spans="1:7" x14ac:dyDescent="0.3">
      <c r="A51">
        <v>39</v>
      </c>
      <c r="B51" t="s">
        <v>90</v>
      </c>
      <c r="C51" t="s">
        <v>55</v>
      </c>
      <c r="D51">
        <v>2</v>
      </c>
      <c r="E51">
        <v>49000</v>
      </c>
      <c r="F51">
        <v>31000</v>
      </c>
    </row>
    <row r="52" spans="1:7" x14ac:dyDescent="0.3">
      <c r="A52">
        <v>25</v>
      </c>
      <c r="B52" t="s">
        <v>91</v>
      </c>
      <c r="C52" t="s">
        <v>32</v>
      </c>
      <c r="D52">
        <v>1</v>
      </c>
      <c r="E52">
        <v>291000</v>
      </c>
      <c r="F52">
        <v>178000</v>
      </c>
      <c r="G52" s="3">
        <v>45785</v>
      </c>
    </row>
    <row r="53" spans="1:7" x14ac:dyDescent="0.3">
      <c r="A53">
        <v>184</v>
      </c>
      <c r="B53" t="s">
        <v>92</v>
      </c>
      <c r="C53" t="s">
        <v>29</v>
      </c>
      <c r="D53" t="s">
        <v>24</v>
      </c>
      <c r="E53">
        <v>58000</v>
      </c>
      <c r="F53">
        <v>33000</v>
      </c>
      <c r="G53" s="3">
        <v>46237</v>
      </c>
    </row>
    <row r="54" spans="1:7" x14ac:dyDescent="0.3">
      <c r="A54">
        <v>118</v>
      </c>
      <c r="B54" t="s">
        <v>93</v>
      </c>
      <c r="C54" t="s">
        <v>8</v>
      </c>
      <c r="D54" t="s">
        <v>24</v>
      </c>
      <c r="E54" t="s">
        <v>94</v>
      </c>
      <c r="F54">
        <v>187000</v>
      </c>
      <c r="G54" s="3">
        <v>45735</v>
      </c>
    </row>
    <row r="55" spans="1:7" x14ac:dyDescent="0.3">
      <c r="A55">
        <v>30</v>
      </c>
      <c r="B55" t="s">
        <v>95</v>
      </c>
      <c r="C55" t="s">
        <v>8</v>
      </c>
      <c r="D55">
        <v>1</v>
      </c>
      <c r="E55">
        <v>239000</v>
      </c>
      <c r="F55">
        <v>133000</v>
      </c>
      <c r="G55" s="3">
        <v>45724</v>
      </c>
    </row>
    <row r="56" spans="1:7" x14ac:dyDescent="0.3">
      <c r="A56">
        <v>20</v>
      </c>
      <c r="B56" t="s">
        <v>96</v>
      </c>
      <c r="C56" t="s">
        <v>16</v>
      </c>
      <c r="D56">
        <v>1</v>
      </c>
      <c r="E56">
        <v>189000</v>
      </c>
      <c r="F56">
        <v>129000</v>
      </c>
      <c r="G56" s="3">
        <v>45662</v>
      </c>
    </row>
    <row r="57" spans="1:7" x14ac:dyDescent="0.3">
      <c r="A57">
        <v>136</v>
      </c>
      <c r="B57" t="s">
        <v>97</v>
      </c>
      <c r="C57" t="s">
        <v>29</v>
      </c>
      <c r="E57">
        <v>72000</v>
      </c>
      <c r="F57">
        <v>45000</v>
      </c>
      <c r="G57" s="3">
        <v>46119</v>
      </c>
    </row>
    <row r="58" spans="1:7" x14ac:dyDescent="0.3">
      <c r="A58">
        <v>140</v>
      </c>
      <c r="B58" t="s">
        <v>98</v>
      </c>
      <c r="C58" t="s">
        <v>41</v>
      </c>
      <c r="D58">
        <v>1</v>
      </c>
      <c r="E58">
        <v>48000</v>
      </c>
      <c r="F58">
        <v>31000</v>
      </c>
      <c r="G58" s="3">
        <v>46112</v>
      </c>
    </row>
    <row r="59" spans="1:7" x14ac:dyDescent="0.3">
      <c r="A59">
        <v>67</v>
      </c>
      <c r="B59" t="s">
        <v>99</v>
      </c>
      <c r="C59" t="s">
        <v>8</v>
      </c>
      <c r="D59">
        <v>1</v>
      </c>
      <c r="E59">
        <v>120000</v>
      </c>
      <c r="F59">
        <v>84000</v>
      </c>
      <c r="G59" s="3">
        <v>45991</v>
      </c>
    </row>
    <row r="60" spans="1:7" x14ac:dyDescent="0.3">
      <c r="A60">
        <v>66</v>
      </c>
      <c r="B60" t="s">
        <v>100</v>
      </c>
      <c r="C60" t="s">
        <v>8</v>
      </c>
      <c r="D60">
        <v>3</v>
      </c>
      <c r="E60">
        <v>217000</v>
      </c>
      <c r="F60">
        <v>131000</v>
      </c>
    </row>
    <row r="61" spans="1:7" x14ac:dyDescent="0.3">
      <c r="A61">
        <v>6</v>
      </c>
      <c r="B61" t="s">
        <v>101</v>
      </c>
      <c r="C61" t="s">
        <v>10</v>
      </c>
      <c r="D61">
        <v>1</v>
      </c>
      <c r="E61">
        <v>206000</v>
      </c>
      <c r="F61">
        <v>156000</v>
      </c>
      <c r="G61" s="3">
        <v>46032</v>
      </c>
    </row>
    <row r="62" spans="1:7" x14ac:dyDescent="0.3">
      <c r="A62">
        <v>147</v>
      </c>
      <c r="B62" t="s">
        <v>102</v>
      </c>
      <c r="C62" t="s">
        <v>32</v>
      </c>
      <c r="D62">
        <v>1</v>
      </c>
      <c r="E62">
        <v>182000</v>
      </c>
      <c r="F62">
        <v>117000</v>
      </c>
      <c r="G62" s="3">
        <v>45836</v>
      </c>
    </row>
    <row r="63" spans="1:7" x14ac:dyDescent="0.3">
      <c r="A63">
        <v>57</v>
      </c>
      <c r="B63" t="s">
        <v>103</v>
      </c>
      <c r="C63" t="s">
        <v>37</v>
      </c>
      <c r="D63">
        <v>1</v>
      </c>
      <c r="E63">
        <v>108000</v>
      </c>
      <c r="F63">
        <v>71000</v>
      </c>
      <c r="G63" s="3">
        <v>45890</v>
      </c>
    </row>
    <row r="64" spans="1:7" x14ac:dyDescent="0.3">
      <c r="A64">
        <v>98</v>
      </c>
      <c r="B64" t="s">
        <v>104</v>
      </c>
      <c r="C64" t="s">
        <v>52</v>
      </c>
      <c r="D64">
        <v>1</v>
      </c>
      <c r="E64">
        <v>60000</v>
      </c>
      <c r="F64">
        <v>35000</v>
      </c>
      <c r="G64" s="3">
        <v>46006</v>
      </c>
    </row>
    <row r="65" spans="1:7" x14ac:dyDescent="0.3">
      <c r="A65">
        <v>129</v>
      </c>
      <c r="B65" t="s">
        <v>105</v>
      </c>
      <c r="C65" t="s">
        <v>106</v>
      </c>
      <c r="D65">
        <v>2</v>
      </c>
      <c r="E65">
        <v>237000</v>
      </c>
      <c r="F65">
        <v>146000</v>
      </c>
      <c r="G65" s="3">
        <v>46224</v>
      </c>
    </row>
    <row r="66" spans="1:7" x14ac:dyDescent="0.3">
      <c r="A66">
        <v>80</v>
      </c>
      <c r="B66" t="s">
        <v>107</v>
      </c>
      <c r="C66" t="s">
        <v>14</v>
      </c>
      <c r="D66">
        <v>1</v>
      </c>
      <c r="E66">
        <v>62000</v>
      </c>
      <c r="F66">
        <v>45000</v>
      </c>
      <c r="G66" s="3">
        <v>45682</v>
      </c>
    </row>
    <row r="67" spans="1:7" x14ac:dyDescent="0.3">
      <c r="A67">
        <v>81</v>
      </c>
      <c r="B67" t="s">
        <v>108</v>
      </c>
      <c r="C67" t="s">
        <v>52</v>
      </c>
      <c r="D67">
        <v>1</v>
      </c>
      <c r="E67">
        <v>93000</v>
      </c>
      <c r="F67">
        <v>59000</v>
      </c>
      <c r="G67" s="3">
        <v>46061</v>
      </c>
    </row>
    <row r="68" spans="1:7" x14ac:dyDescent="0.3">
      <c r="A68">
        <v>72</v>
      </c>
      <c r="B68" t="s">
        <v>109</v>
      </c>
      <c r="C68" t="s">
        <v>80</v>
      </c>
      <c r="D68">
        <v>2</v>
      </c>
      <c r="E68">
        <v>91000</v>
      </c>
      <c r="F68">
        <v>50000</v>
      </c>
      <c r="G68" s="3">
        <v>46097</v>
      </c>
    </row>
    <row r="69" spans="1:7" x14ac:dyDescent="0.3">
      <c r="A69">
        <v>31</v>
      </c>
      <c r="B69" t="s">
        <v>110</v>
      </c>
      <c r="C69" t="s">
        <v>8</v>
      </c>
      <c r="D69">
        <v>1</v>
      </c>
      <c r="E69" t="s">
        <v>111</v>
      </c>
      <c r="F69">
        <v>167000</v>
      </c>
      <c r="G69" s="3">
        <v>46115</v>
      </c>
    </row>
    <row r="70" spans="1:7" x14ac:dyDescent="0.3">
      <c r="A70">
        <v>13</v>
      </c>
      <c r="B70" t="s">
        <v>112</v>
      </c>
      <c r="C70" t="s">
        <v>19</v>
      </c>
      <c r="D70">
        <v>1</v>
      </c>
      <c r="E70" t="s">
        <v>113</v>
      </c>
      <c r="F70">
        <v>50000</v>
      </c>
      <c r="G70" s="3">
        <v>46213</v>
      </c>
    </row>
    <row r="71" spans="1:7" x14ac:dyDescent="0.3">
      <c r="A71">
        <v>36</v>
      </c>
      <c r="C71" t="s">
        <v>8</v>
      </c>
      <c r="D71">
        <v>1</v>
      </c>
      <c r="E71">
        <v>262000</v>
      </c>
      <c r="F71">
        <v>159000</v>
      </c>
      <c r="G71" s="3">
        <v>45884</v>
      </c>
    </row>
    <row r="72" spans="1:7" x14ac:dyDescent="0.3">
      <c r="A72">
        <v>29</v>
      </c>
      <c r="B72" t="s">
        <v>114</v>
      </c>
      <c r="C72" t="s">
        <v>50</v>
      </c>
      <c r="E72" t="s">
        <v>115</v>
      </c>
      <c r="F72">
        <v>71000</v>
      </c>
      <c r="G72" s="3">
        <v>46024</v>
      </c>
    </row>
    <row r="73" spans="1:7" x14ac:dyDescent="0.3">
      <c r="A73">
        <v>43</v>
      </c>
      <c r="B73" t="s">
        <v>116</v>
      </c>
      <c r="C73" t="s">
        <v>14</v>
      </c>
      <c r="D73">
        <v>1</v>
      </c>
      <c r="E73">
        <v>67000</v>
      </c>
      <c r="F73">
        <v>51000</v>
      </c>
      <c r="G73" s="3">
        <v>46019</v>
      </c>
    </row>
    <row r="74" spans="1:7" x14ac:dyDescent="0.3">
      <c r="A74">
        <v>116</v>
      </c>
      <c r="B74" t="s">
        <v>117</v>
      </c>
      <c r="C74" t="s">
        <v>118</v>
      </c>
      <c r="D74">
        <v>1</v>
      </c>
      <c r="E74">
        <v>296000</v>
      </c>
      <c r="F74">
        <v>185000</v>
      </c>
      <c r="G74" s="3">
        <v>45951</v>
      </c>
    </row>
    <row r="75" spans="1:7" x14ac:dyDescent="0.3">
      <c r="A75">
        <v>99</v>
      </c>
      <c r="B75" t="s">
        <v>119</v>
      </c>
      <c r="C75" t="s">
        <v>120</v>
      </c>
      <c r="D75">
        <v>1</v>
      </c>
      <c r="E75">
        <v>65000</v>
      </c>
      <c r="F75">
        <v>48000</v>
      </c>
      <c r="G75" s="3">
        <v>46010</v>
      </c>
    </row>
    <row r="76" spans="1:7" x14ac:dyDescent="0.3">
      <c r="A76">
        <v>144</v>
      </c>
      <c r="B76" t="s">
        <v>121</v>
      </c>
      <c r="C76" t="s">
        <v>122</v>
      </c>
      <c r="D76">
        <v>2</v>
      </c>
      <c r="E76">
        <v>49000</v>
      </c>
      <c r="F76">
        <v>35000</v>
      </c>
      <c r="G76" s="3">
        <v>45754</v>
      </c>
    </row>
    <row r="77" spans="1:7" x14ac:dyDescent="0.3">
      <c r="A77">
        <v>52</v>
      </c>
      <c r="B77" t="s">
        <v>123</v>
      </c>
      <c r="C77" t="s">
        <v>58</v>
      </c>
      <c r="D77" t="s">
        <v>24</v>
      </c>
      <c r="E77">
        <v>43000</v>
      </c>
      <c r="F77">
        <v>23000</v>
      </c>
      <c r="G77" s="3">
        <v>45917</v>
      </c>
    </row>
    <row r="78" spans="1:7" x14ac:dyDescent="0.3">
      <c r="A78">
        <v>119</v>
      </c>
      <c r="B78" t="s">
        <v>124</v>
      </c>
      <c r="C78" t="s">
        <v>125</v>
      </c>
      <c r="D78">
        <v>2</v>
      </c>
      <c r="E78">
        <v>124000</v>
      </c>
      <c r="F78">
        <v>78000</v>
      </c>
      <c r="G78" s="3">
        <v>46111</v>
      </c>
    </row>
    <row r="79" spans="1:7" x14ac:dyDescent="0.3">
      <c r="A79">
        <v>171</v>
      </c>
      <c r="B79" t="s">
        <v>126</v>
      </c>
      <c r="C79" t="s">
        <v>89</v>
      </c>
      <c r="D79">
        <v>1</v>
      </c>
      <c r="E79">
        <v>155000</v>
      </c>
      <c r="F79">
        <v>113000</v>
      </c>
      <c r="G79" s="3">
        <v>45998</v>
      </c>
    </row>
    <row r="80" spans="1:7" x14ac:dyDescent="0.3">
      <c r="A80">
        <v>77</v>
      </c>
      <c r="B80" t="s">
        <v>127</v>
      </c>
      <c r="C80" t="s">
        <v>29</v>
      </c>
      <c r="D80">
        <v>1</v>
      </c>
      <c r="E80">
        <v>68000</v>
      </c>
      <c r="F80">
        <v>44000</v>
      </c>
      <c r="G80" s="3">
        <v>45954</v>
      </c>
    </row>
    <row r="81" spans="1:7" x14ac:dyDescent="0.3">
      <c r="A81">
        <v>42</v>
      </c>
      <c r="B81" t="s">
        <v>128</v>
      </c>
      <c r="C81" t="s">
        <v>50</v>
      </c>
      <c r="D81">
        <v>1</v>
      </c>
      <c r="E81">
        <v>81000</v>
      </c>
      <c r="F81">
        <v>49000</v>
      </c>
      <c r="G81" s="3">
        <v>45671</v>
      </c>
    </row>
    <row r="82" spans="1:7" x14ac:dyDescent="0.3">
      <c r="A82">
        <v>204</v>
      </c>
      <c r="B82" t="s">
        <v>129</v>
      </c>
      <c r="C82" t="s">
        <v>67</v>
      </c>
      <c r="D82">
        <v>1</v>
      </c>
      <c r="E82" t="s">
        <v>130</v>
      </c>
      <c r="F82">
        <v>125000</v>
      </c>
      <c r="G82" s="3">
        <v>46021</v>
      </c>
    </row>
    <row r="83" spans="1:7" x14ac:dyDescent="0.3">
      <c r="A83">
        <v>79</v>
      </c>
      <c r="B83" t="s">
        <v>131</v>
      </c>
      <c r="C83" t="s">
        <v>58</v>
      </c>
      <c r="D83">
        <v>1</v>
      </c>
      <c r="E83">
        <v>22000</v>
      </c>
      <c r="F83">
        <v>13000</v>
      </c>
      <c r="G83" s="3">
        <v>46217</v>
      </c>
    </row>
    <row r="84" spans="1:7" x14ac:dyDescent="0.3">
      <c r="A84">
        <v>125</v>
      </c>
      <c r="B84" t="s">
        <v>31</v>
      </c>
      <c r="C84" t="s">
        <v>41</v>
      </c>
      <c r="D84">
        <v>1</v>
      </c>
      <c r="E84">
        <v>70000</v>
      </c>
      <c r="F84">
        <v>48000</v>
      </c>
      <c r="G84" s="3">
        <v>45826</v>
      </c>
    </row>
    <row r="85" spans="1:7" x14ac:dyDescent="0.3">
      <c r="A85">
        <v>27</v>
      </c>
      <c r="B85" t="s">
        <v>132</v>
      </c>
      <c r="C85" t="s">
        <v>133</v>
      </c>
      <c r="D85">
        <v>1</v>
      </c>
      <c r="E85">
        <v>85000</v>
      </c>
      <c r="F85" t="s">
        <v>134</v>
      </c>
      <c r="G85" s="3">
        <v>45734</v>
      </c>
    </row>
    <row r="86" spans="1:7" x14ac:dyDescent="0.3">
      <c r="A86">
        <v>141</v>
      </c>
      <c r="B86" t="s">
        <v>135</v>
      </c>
      <c r="C86" t="s">
        <v>89</v>
      </c>
      <c r="D86">
        <v>1</v>
      </c>
      <c r="E86">
        <v>143000</v>
      </c>
      <c r="F86">
        <v>111000</v>
      </c>
    </row>
    <row r="87" spans="1:7" x14ac:dyDescent="0.3">
      <c r="A87">
        <v>179</v>
      </c>
      <c r="C87" t="s">
        <v>89</v>
      </c>
      <c r="D87">
        <v>1</v>
      </c>
      <c r="E87">
        <v>164000</v>
      </c>
      <c r="F87">
        <v>101000</v>
      </c>
      <c r="G87" s="3">
        <v>46205</v>
      </c>
    </row>
    <row r="88" spans="1:7" x14ac:dyDescent="0.3">
      <c r="A88">
        <v>123</v>
      </c>
      <c r="B88" t="s">
        <v>136</v>
      </c>
      <c r="C88" t="s">
        <v>41</v>
      </c>
      <c r="D88">
        <v>1</v>
      </c>
      <c r="E88">
        <v>83000</v>
      </c>
      <c r="F88">
        <v>47000</v>
      </c>
      <c r="G88" s="3">
        <v>46143</v>
      </c>
    </row>
    <row r="89" spans="1:7" x14ac:dyDescent="0.3">
      <c r="A89">
        <v>3</v>
      </c>
      <c r="B89" t="s">
        <v>137</v>
      </c>
      <c r="C89" t="s">
        <v>138</v>
      </c>
      <c r="D89">
        <v>1</v>
      </c>
      <c r="E89">
        <v>239000</v>
      </c>
      <c r="F89">
        <v>160000</v>
      </c>
      <c r="G89" s="3">
        <v>45825</v>
      </c>
    </row>
    <row r="90" spans="1:7" x14ac:dyDescent="0.3">
      <c r="A90">
        <v>78</v>
      </c>
      <c r="B90" t="s">
        <v>139</v>
      </c>
      <c r="C90" t="s">
        <v>50</v>
      </c>
      <c r="D90">
        <v>1</v>
      </c>
      <c r="E90" t="s">
        <v>140</v>
      </c>
      <c r="F90">
        <v>75000</v>
      </c>
      <c r="G90" s="3">
        <v>45898</v>
      </c>
    </row>
    <row r="91" spans="1:7" x14ac:dyDescent="0.3">
      <c r="A91">
        <v>47</v>
      </c>
      <c r="B91" t="s">
        <v>141</v>
      </c>
      <c r="C91" t="s">
        <v>50</v>
      </c>
      <c r="D91">
        <v>1</v>
      </c>
      <c r="E91">
        <v>91000</v>
      </c>
      <c r="F91">
        <v>54000</v>
      </c>
      <c r="G91" s="3">
        <v>46179</v>
      </c>
    </row>
    <row r="92" spans="1:7" x14ac:dyDescent="0.3">
      <c r="A92">
        <v>128</v>
      </c>
      <c r="B92" t="s">
        <v>142</v>
      </c>
      <c r="C92" t="s">
        <v>143</v>
      </c>
      <c r="D92">
        <v>1</v>
      </c>
      <c r="E92" t="s">
        <v>144</v>
      </c>
      <c r="F92">
        <v>49000</v>
      </c>
      <c r="G92" s="3">
        <v>45854</v>
      </c>
    </row>
    <row r="93" spans="1:7" x14ac:dyDescent="0.3">
      <c r="A93">
        <v>113</v>
      </c>
      <c r="B93" t="s">
        <v>145</v>
      </c>
      <c r="C93" t="s">
        <v>146</v>
      </c>
      <c r="D93">
        <v>1</v>
      </c>
      <c r="E93">
        <v>233000</v>
      </c>
      <c r="F93">
        <v>164000</v>
      </c>
      <c r="G93" s="3">
        <v>46244</v>
      </c>
    </row>
    <row r="94" spans="1:7" x14ac:dyDescent="0.3">
      <c r="A94">
        <v>91</v>
      </c>
      <c r="B94" t="s">
        <v>147</v>
      </c>
      <c r="C94" t="s">
        <v>29</v>
      </c>
      <c r="D94">
        <v>1</v>
      </c>
      <c r="E94">
        <v>45000</v>
      </c>
      <c r="F94">
        <v>24000</v>
      </c>
      <c r="G94" s="3">
        <v>46046</v>
      </c>
    </row>
    <row r="95" spans="1:7" x14ac:dyDescent="0.3">
      <c r="A95">
        <v>86</v>
      </c>
      <c r="B95" t="s">
        <v>33</v>
      </c>
      <c r="C95" t="s">
        <v>148</v>
      </c>
      <c r="D95">
        <v>1</v>
      </c>
      <c r="E95">
        <v>106000</v>
      </c>
      <c r="F95">
        <v>77000</v>
      </c>
      <c r="G95" s="3">
        <v>45946</v>
      </c>
    </row>
    <row r="96" spans="1:7" x14ac:dyDescent="0.3">
      <c r="A96">
        <v>142</v>
      </c>
      <c r="B96" t="s">
        <v>149</v>
      </c>
      <c r="C96" t="s">
        <v>150</v>
      </c>
      <c r="D96">
        <v>2</v>
      </c>
      <c r="E96">
        <v>88000</v>
      </c>
      <c r="F96">
        <v>61000</v>
      </c>
      <c r="G96" s="3">
        <v>45998</v>
      </c>
    </row>
    <row r="97" spans="1:7" x14ac:dyDescent="0.3">
      <c r="A97">
        <v>37</v>
      </c>
      <c r="B97" t="s">
        <v>151</v>
      </c>
      <c r="C97" t="s">
        <v>41</v>
      </c>
      <c r="D97">
        <v>1</v>
      </c>
      <c r="E97">
        <v>77000</v>
      </c>
      <c r="F97">
        <v>45000</v>
      </c>
      <c r="G97" s="3">
        <v>45713</v>
      </c>
    </row>
    <row r="98" spans="1:7" x14ac:dyDescent="0.3">
      <c r="A98">
        <v>120</v>
      </c>
      <c r="B98" t="s">
        <v>152</v>
      </c>
      <c r="C98" t="s">
        <v>89</v>
      </c>
      <c r="D98">
        <v>1</v>
      </c>
      <c r="E98">
        <v>173000</v>
      </c>
      <c r="F98">
        <v>121000</v>
      </c>
      <c r="G98" s="3">
        <v>46214</v>
      </c>
    </row>
    <row r="99" spans="1:7" x14ac:dyDescent="0.3">
      <c r="A99">
        <v>62</v>
      </c>
      <c r="B99" t="s">
        <v>153</v>
      </c>
      <c r="C99" t="s">
        <v>58</v>
      </c>
      <c r="D99">
        <v>1</v>
      </c>
      <c r="E99" t="s">
        <v>154</v>
      </c>
      <c r="F99" t="s">
        <v>155</v>
      </c>
      <c r="G99" s="3">
        <v>46194</v>
      </c>
    </row>
    <row r="100" spans="1:7" x14ac:dyDescent="0.3">
      <c r="A100">
        <v>23</v>
      </c>
      <c r="B100" t="s">
        <v>156</v>
      </c>
      <c r="C100" t="s">
        <v>29</v>
      </c>
      <c r="D100">
        <v>3</v>
      </c>
      <c r="E100">
        <v>43000</v>
      </c>
      <c r="F100">
        <v>26000</v>
      </c>
      <c r="G100" s="3">
        <v>46202</v>
      </c>
    </row>
    <row r="101" spans="1:7" x14ac:dyDescent="0.3">
      <c r="A101">
        <v>139</v>
      </c>
      <c r="B101" t="s">
        <v>157</v>
      </c>
      <c r="C101" t="s">
        <v>26</v>
      </c>
      <c r="D101">
        <v>2</v>
      </c>
      <c r="E101">
        <v>6000</v>
      </c>
      <c r="F101">
        <v>4000</v>
      </c>
      <c r="G101" s="3">
        <v>46169</v>
      </c>
    </row>
    <row r="102" spans="1:7" x14ac:dyDescent="0.3">
      <c r="A102">
        <v>112</v>
      </c>
      <c r="B102" t="s">
        <v>96</v>
      </c>
      <c r="C102" t="s">
        <v>29</v>
      </c>
      <c r="D102">
        <v>1</v>
      </c>
      <c r="E102">
        <v>73000</v>
      </c>
      <c r="F102">
        <v>46000</v>
      </c>
      <c r="G102" s="3">
        <v>46051</v>
      </c>
    </row>
    <row r="103" spans="1:7" x14ac:dyDescent="0.3">
      <c r="A103">
        <v>34</v>
      </c>
      <c r="B103" t="s">
        <v>158</v>
      </c>
      <c r="C103" t="s">
        <v>19</v>
      </c>
      <c r="D103">
        <v>1</v>
      </c>
      <c r="E103">
        <v>50000</v>
      </c>
      <c r="F103">
        <v>37000</v>
      </c>
      <c r="G103" s="3">
        <v>45722</v>
      </c>
    </row>
    <row r="104" spans="1:7" x14ac:dyDescent="0.3">
      <c r="A104">
        <v>12</v>
      </c>
      <c r="B104" t="s">
        <v>159</v>
      </c>
      <c r="C104" t="s">
        <v>89</v>
      </c>
      <c r="D104" t="s">
        <v>24</v>
      </c>
      <c r="E104">
        <v>157000</v>
      </c>
      <c r="F104">
        <v>87000</v>
      </c>
      <c r="G104" s="3">
        <v>46067</v>
      </c>
    </row>
    <row r="105" spans="1:7" x14ac:dyDescent="0.3">
      <c r="A105">
        <v>205</v>
      </c>
      <c r="B105" t="s">
        <v>160</v>
      </c>
      <c r="C105" t="s">
        <v>161</v>
      </c>
      <c r="D105">
        <v>1</v>
      </c>
      <c r="E105">
        <v>76000</v>
      </c>
      <c r="F105">
        <v>43000</v>
      </c>
      <c r="G105" s="3">
        <v>45864</v>
      </c>
    </row>
    <row r="106" spans="1:7" x14ac:dyDescent="0.3">
      <c r="A106">
        <v>168</v>
      </c>
      <c r="B106" t="s">
        <v>129</v>
      </c>
      <c r="C106" t="s">
        <v>52</v>
      </c>
      <c r="D106">
        <v>1</v>
      </c>
      <c r="E106">
        <v>51000</v>
      </c>
      <c r="F106">
        <v>27000</v>
      </c>
      <c r="G106" s="3">
        <v>45872</v>
      </c>
    </row>
    <row r="107" spans="1:7" x14ac:dyDescent="0.3">
      <c r="A107">
        <v>7</v>
      </c>
      <c r="B107" t="s">
        <v>162</v>
      </c>
      <c r="C107" t="s">
        <v>138</v>
      </c>
      <c r="D107">
        <v>1</v>
      </c>
      <c r="E107">
        <v>117000</v>
      </c>
      <c r="F107">
        <v>90000</v>
      </c>
      <c r="G107" s="3">
        <v>45900</v>
      </c>
    </row>
    <row r="108" spans="1:7" x14ac:dyDescent="0.3">
      <c r="A108">
        <v>28</v>
      </c>
      <c r="B108" t="s">
        <v>163</v>
      </c>
      <c r="C108" t="s">
        <v>10</v>
      </c>
      <c r="D108">
        <v>1</v>
      </c>
      <c r="E108">
        <v>181000</v>
      </c>
      <c r="F108">
        <v>110000</v>
      </c>
      <c r="G108" s="3">
        <v>46146</v>
      </c>
    </row>
    <row r="109" spans="1:7" x14ac:dyDescent="0.3">
      <c r="A109">
        <v>172</v>
      </c>
      <c r="B109" t="s">
        <v>135</v>
      </c>
      <c r="C109" t="s">
        <v>29</v>
      </c>
      <c r="D109">
        <v>1</v>
      </c>
      <c r="E109">
        <v>85000</v>
      </c>
      <c r="F109">
        <v>46000</v>
      </c>
      <c r="G109" s="3">
        <v>45795</v>
      </c>
    </row>
    <row r="110" spans="1:7" x14ac:dyDescent="0.3">
      <c r="A110">
        <v>202</v>
      </c>
      <c r="B110" t="s">
        <v>164</v>
      </c>
      <c r="C110" t="s">
        <v>143</v>
      </c>
      <c r="D110">
        <v>2</v>
      </c>
      <c r="E110">
        <v>126000</v>
      </c>
      <c r="F110" t="s">
        <v>165</v>
      </c>
      <c r="G110" s="3">
        <v>46072</v>
      </c>
    </row>
    <row r="111" spans="1:7" x14ac:dyDescent="0.3">
      <c r="A111">
        <v>145</v>
      </c>
      <c r="B111" t="s">
        <v>166</v>
      </c>
      <c r="C111" t="s">
        <v>8</v>
      </c>
      <c r="D111">
        <v>2</v>
      </c>
      <c r="E111">
        <v>145000</v>
      </c>
      <c r="F111">
        <v>84000</v>
      </c>
      <c r="G111" s="3">
        <v>45832</v>
      </c>
    </row>
    <row r="112" spans="1:7" x14ac:dyDescent="0.3">
      <c r="A112">
        <v>5</v>
      </c>
      <c r="B112" t="s">
        <v>167</v>
      </c>
      <c r="C112" t="s">
        <v>89</v>
      </c>
      <c r="D112">
        <v>1</v>
      </c>
      <c r="E112" t="s">
        <v>168</v>
      </c>
      <c r="F112" t="s">
        <v>169</v>
      </c>
    </row>
    <row r="113" spans="1:7" x14ac:dyDescent="0.3">
      <c r="A113">
        <v>33</v>
      </c>
      <c r="B113" t="s">
        <v>170</v>
      </c>
      <c r="C113" t="s">
        <v>143</v>
      </c>
      <c r="D113">
        <v>1</v>
      </c>
      <c r="E113">
        <v>189000</v>
      </c>
      <c r="F113">
        <v>120000</v>
      </c>
      <c r="G113" s="3">
        <v>45757</v>
      </c>
    </row>
    <row r="114" spans="1:7" x14ac:dyDescent="0.3">
      <c r="A114">
        <v>114</v>
      </c>
      <c r="B114" t="s">
        <v>171</v>
      </c>
      <c r="C114" t="s">
        <v>16</v>
      </c>
      <c r="D114">
        <v>1</v>
      </c>
      <c r="E114">
        <v>306000</v>
      </c>
      <c r="F114">
        <v>162000</v>
      </c>
      <c r="G114" s="3">
        <v>45878</v>
      </c>
    </row>
    <row r="115" spans="1:7" x14ac:dyDescent="0.3">
      <c r="A115">
        <v>153</v>
      </c>
      <c r="B115" t="s">
        <v>172</v>
      </c>
      <c r="C115" t="s">
        <v>41</v>
      </c>
      <c r="D115">
        <v>1</v>
      </c>
      <c r="E115" t="s">
        <v>173</v>
      </c>
      <c r="F115">
        <v>56000</v>
      </c>
      <c r="G115" s="3">
        <v>46170</v>
      </c>
    </row>
    <row r="116" spans="1:7" x14ac:dyDescent="0.3">
      <c r="A116">
        <v>121</v>
      </c>
      <c r="C116" t="s">
        <v>14</v>
      </c>
      <c r="D116">
        <v>3</v>
      </c>
      <c r="E116">
        <v>65000</v>
      </c>
      <c r="F116">
        <v>41000</v>
      </c>
      <c r="G116" s="3">
        <v>45918</v>
      </c>
    </row>
    <row r="117" spans="1:7" x14ac:dyDescent="0.3">
      <c r="A117">
        <v>195</v>
      </c>
      <c r="C117" t="s">
        <v>125</v>
      </c>
      <c r="D117">
        <v>2</v>
      </c>
      <c r="E117">
        <v>140000</v>
      </c>
      <c r="F117">
        <v>105000</v>
      </c>
      <c r="G117" s="3">
        <v>46201</v>
      </c>
    </row>
    <row r="118" spans="1:7" x14ac:dyDescent="0.3">
      <c r="A118">
        <v>115</v>
      </c>
      <c r="C118" t="s">
        <v>50</v>
      </c>
      <c r="D118">
        <v>1</v>
      </c>
      <c r="E118">
        <v>75000</v>
      </c>
      <c r="F118">
        <v>55000</v>
      </c>
      <c r="G118" s="3">
        <v>45664</v>
      </c>
    </row>
    <row r="119" spans="1:7" x14ac:dyDescent="0.3">
      <c r="A119">
        <v>11</v>
      </c>
      <c r="B119" t="s">
        <v>71</v>
      </c>
      <c r="C119" t="s">
        <v>12</v>
      </c>
      <c r="D119" t="s">
        <v>24</v>
      </c>
      <c r="E119">
        <v>104000</v>
      </c>
      <c r="F119">
        <v>75000</v>
      </c>
      <c r="G119" s="3">
        <v>45936</v>
      </c>
    </row>
    <row r="120" spans="1:7" x14ac:dyDescent="0.3">
      <c r="A120">
        <v>63</v>
      </c>
      <c r="B120" t="s">
        <v>174</v>
      </c>
      <c r="C120" t="s">
        <v>19</v>
      </c>
      <c r="D120">
        <v>3</v>
      </c>
      <c r="E120">
        <v>69000</v>
      </c>
      <c r="F120">
        <v>41000</v>
      </c>
      <c r="G120" s="3">
        <v>46034</v>
      </c>
    </row>
    <row r="121" spans="1:7" x14ac:dyDescent="0.3">
      <c r="A121">
        <v>149</v>
      </c>
      <c r="B121" t="s">
        <v>175</v>
      </c>
      <c r="C121" t="s">
        <v>176</v>
      </c>
      <c r="D121">
        <v>2</v>
      </c>
      <c r="E121">
        <v>97000</v>
      </c>
      <c r="F121" t="s">
        <v>177</v>
      </c>
      <c r="G121" s="3">
        <v>45956</v>
      </c>
    </row>
    <row r="122" spans="1:7" x14ac:dyDescent="0.3">
      <c r="A122">
        <v>154</v>
      </c>
      <c r="B122" t="s">
        <v>178</v>
      </c>
      <c r="C122" t="s">
        <v>179</v>
      </c>
      <c r="D122">
        <v>1</v>
      </c>
      <c r="E122">
        <v>116000</v>
      </c>
      <c r="F122">
        <v>67000</v>
      </c>
      <c r="G122" s="3">
        <v>45886</v>
      </c>
    </row>
    <row r="123" spans="1:7" x14ac:dyDescent="0.3">
      <c r="A123">
        <v>177</v>
      </c>
      <c r="B123" t="s">
        <v>180</v>
      </c>
      <c r="C123" t="s">
        <v>14</v>
      </c>
      <c r="D123">
        <v>1</v>
      </c>
      <c r="E123">
        <v>58000</v>
      </c>
      <c r="F123">
        <v>44000</v>
      </c>
      <c r="G123" s="3">
        <v>45772</v>
      </c>
    </row>
    <row r="124" spans="1:7" x14ac:dyDescent="0.3">
      <c r="A124">
        <v>1</v>
      </c>
      <c r="B124" t="s">
        <v>181</v>
      </c>
      <c r="C124" t="s">
        <v>80</v>
      </c>
      <c r="D124">
        <v>1</v>
      </c>
      <c r="E124">
        <v>96000</v>
      </c>
      <c r="F124">
        <v>56000</v>
      </c>
      <c r="G124" s="3">
        <v>46220</v>
      </c>
    </row>
    <row r="125" spans="1:7" x14ac:dyDescent="0.3">
      <c r="A125">
        <v>190</v>
      </c>
      <c r="B125" t="s">
        <v>182</v>
      </c>
      <c r="C125" t="s">
        <v>183</v>
      </c>
      <c r="D125">
        <v>1</v>
      </c>
      <c r="E125">
        <v>23000</v>
      </c>
      <c r="F125">
        <v>13000</v>
      </c>
      <c r="G125" s="3">
        <v>45807</v>
      </c>
    </row>
    <row r="126" spans="1:7" x14ac:dyDescent="0.3">
      <c r="A126">
        <v>185</v>
      </c>
      <c r="B126" t="s">
        <v>184</v>
      </c>
      <c r="C126" t="s">
        <v>58</v>
      </c>
      <c r="D126">
        <v>3</v>
      </c>
      <c r="E126">
        <v>21000</v>
      </c>
      <c r="F126">
        <v>14000</v>
      </c>
      <c r="G126" s="3">
        <v>45714</v>
      </c>
    </row>
    <row r="127" spans="1:7" x14ac:dyDescent="0.3">
      <c r="A127">
        <v>71</v>
      </c>
      <c r="B127" t="s">
        <v>185</v>
      </c>
      <c r="C127" t="s">
        <v>14</v>
      </c>
      <c r="D127">
        <v>1</v>
      </c>
      <c r="E127">
        <v>79000</v>
      </c>
      <c r="F127">
        <v>47000</v>
      </c>
      <c r="G127" s="3">
        <v>45813</v>
      </c>
    </row>
    <row r="128" spans="1:7" x14ac:dyDescent="0.3">
      <c r="A128">
        <v>164</v>
      </c>
      <c r="B128" t="s">
        <v>186</v>
      </c>
      <c r="C128" t="s">
        <v>80</v>
      </c>
      <c r="D128">
        <v>3</v>
      </c>
      <c r="E128" t="s">
        <v>187</v>
      </c>
      <c r="F128">
        <v>88000</v>
      </c>
      <c r="G128" s="3">
        <v>45780</v>
      </c>
    </row>
    <row r="129" spans="1:7" x14ac:dyDescent="0.3">
      <c r="A129">
        <v>65</v>
      </c>
      <c r="B129" t="s">
        <v>188</v>
      </c>
      <c r="C129" t="s">
        <v>106</v>
      </c>
      <c r="D129">
        <v>2</v>
      </c>
      <c r="E129">
        <v>214000</v>
      </c>
      <c r="F129" t="s">
        <v>189</v>
      </c>
      <c r="G129" s="3">
        <v>45858</v>
      </c>
    </row>
    <row r="130" spans="1:7" x14ac:dyDescent="0.3">
      <c r="A130">
        <v>45</v>
      </c>
      <c r="B130" t="s">
        <v>190</v>
      </c>
      <c r="C130" t="s">
        <v>191</v>
      </c>
      <c r="D130">
        <v>2</v>
      </c>
      <c r="E130">
        <v>317000</v>
      </c>
      <c r="F130">
        <v>204000</v>
      </c>
      <c r="G130" s="3">
        <v>45768</v>
      </c>
    </row>
    <row r="131" spans="1:7" x14ac:dyDescent="0.3">
      <c r="A131">
        <v>138</v>
      </c>
      <c r="B131" t="s">
        <v>192</v>
      </c>
      <c r="C131" t="s">
        <v>52</v>
      </c>
      <c r="D131">
        <v>1</v>
      </c>
      <c r="E131" t="s">
        <v>193</v>
      </c>
      <c r="F131">
        <v>64000</v>
      </c>
      <c r="G131" s="3">
        <v>45706</v>
      </c>
    </row>
    <row r="132" spans="1:7" x14ac:dyDescent="0.3">
      <c r="A132">
        <v>41</v>
      </c>
      <c r="B132" t="s">
        <v>194</v>
      </c>
      <c r="C132" t="s">
        <v>195</v>
      </c>
      <c r="D132">
        <v>1</v>
      </c>
      <c r="E132">
        <v>170000</v>
      </c>
      <c r="F132">
        <v>91000</v>
      </c>
      <c r="G132" s="3">
        <v>45906</v>
      </c>
    </row>
    <row r="133" spans="1:7" x14ac:dyDescent="0.3">
      <c r="A133">
        <v>124</v>
      </c>
      <c r="B133" t="s">
        <v>196</v>
      </c>
      <c r="C133" t="s">
        <v>10</v>
      </c>
      <c r="D133">
        <v>1</v>
      </c>
      <c r="E133">
        <v>223000</v>
      </c>
      <c r="F133">
        <v>121000</v>
      </c>
      <c r="G133" s="3">
        <v>46165</v>
      </c>
    </row>
    <row r="134" spans="1:7" x14ac:dyDescent="0.3">
      <c r="A134">
        <v>24</v>
      </c>
      <c r="B134" t="s">
        <v>197</v>
      </c>
      <c r="C134" t="s">
        <v>52</v>
      </c>
      <c r="D134">
        <v>3</v>
      </c>
      <c r="E134">
        <v>72000</v>
      </c>
      <c r="F134">
        <v>38000</v>
      </c>
      <c r="G134" s="3">
        <v>45981</v>
      </c>
    </row>
    <row r="135" spans="1:7" x14ac:dyDescent="0.3">
      <c r="A135">
        <v>159</v>
      </c>
      <c r="B135" t="s">
        <v>198</v>
      </c>
      <c r="C135" t="s">
        <v>50</v>
      </c>
      <c r="D135">
        <v>1</v>
      </c>
      <c r="E135">
        <v>126000</v>
      </c>
      <c r="F135">
        <v>67000</v>
      </c>
      <c r="G135" s="3">
        <v>45779</v>
      </c>
    </row>
    <row r="136" spans="1:7" x14ac:dyDescent="0.3">
      <c r="A136">
        <v>155</v>
      </c>
      <c r="B136" t="s">
        <v>199</v>
      </c>
      <c r="C136" t="s">
        <v>200</v>
      </c>
      <c r="D136">
        <v>2</v>
      </c>
      <c r="E136">
        <v>154000</v>
      </c>
      <c r="F136">
        <v>93000</v>
      </c>
      <c r="G136" s="3">
        <v>45761</v>
      </c>
    </row>
    <row r="137" spans="1:7" x14ac:dyDescent="0.3">
      <c r="A137">
        <v>82</v>
      </c>
      <c r="B137" t="s">
        <v>28</v>
      </c>
      <c r="C137" t="s">
        <v>52</v>
      </c>
      <c r="D137">
        <v>2</v>
      </c>
      <c r="E137">
        <v>98000</v>
      </c>
      <c r="F137">
        <v>66000</v>
      </c>
      <c r="G137" s="3">
        <v>45887</v>
      </c>
    </row>
    <row r="138" spans="1:7" x14ac:dyDescent="0.3">
      <c r="A138">
        <v>40</v>
      </c>
      <c r="B138" t="s">
        <v>201</v>
      </c>
      <c r="C138" t="s">
        <v>202</v>
      </c>
      <c r="D138">
        <v>1</v>
      </c>
      <c r="E138">
        <v>66000</v>
      </c>
      <c r="F138">
        <v>47000</v>
      </c>
      <c r="G138" s="3">
        <v>46091</v>
      </c>
    </row>
    <row r="139" spans="1:7" x14ac:dyDescent="0.3">
      <c r="A139">
        <v>178</v>
      </c>
      <c r="B139" t="s">
        <v>203</v>
      </c>
      <c r="C139" t="s">
        <v>14</v>
      </c>
      <c r="D139">
        <v>1</v>
      </c>
      <c r="E139">
        <v>111000</v>
      </c>
      <c r="F139">
        <v>84000</v>
      </c>
      <c r="G139" s="3">
        <v>45729</v>
      </c>
    </row>
    <row r="140" spans="1:7" x14ac:dyDescent="0.3">
      <c r="A140">
        <v>48</v>
      </c>
      <c r="B140" t="s">
        <v>167</v>
      </c>
      <c r="C140" t="s">
        <v>14</v>
      </c>
      <c r="D140">
        <v>1</v>
      </c>
      <c r="E140">
        <v>61000</v>
      </c>
      <c r="F140">
        <v>46000</v>
      </c>
      <c r="G140" s="3">
        <v>45665</v>
      </c>
    </row>
    <row r="141" spans="1:7" x14ac:dyDescent="0.3">
      <c r="A141">
        <v>95</v>
      </c>
      <c r="B141" t="s">
        <v>204</v>
      </c>
      <c r="C141" t="s">
        <v>205</v>
      </c>
      <c r="D141">
        <v>1</v>
      </c>
      <c r="E141">
        <v>97000</v>
      </c>
      <c r="F141">
        <v>63000</v>
      </c>
      <c r="G141" s="3">
        <v>45818</v>
      </c>
    </row>
    <row r="142" spans="1:7" x14ac:dyDescent="0.3">
      <c r="A142">
        <v>162</v>
      </c>
      <c r="B142" t="s">
        <v>206</v>
      </c>
      <c r="C142" t="s">
        <v>207</v>
      </c>
      <c r="D142">
        <v>2</v>
      </c>
      <c r="E142" t="s">
        <v>208</v>
      </c>
      <c r="F142">
        <v>99000</v>
      </c>
      <c r="G142" s="3">
        <v>45901</v>
      </c>
    </row>
    <row r="143" spans="1:7" x14ac:dyDescent="0.3">
      <c r="A143">
        <v>44</v>
      </c>
      <c r="B143" t="s">
        <v>209</v>
      </c>
      <c r="C143" t="s">
        <v>52</v>
      </c>
      <c r="D143">
        <v>1</v>
      </c>
      <c r="E143">
        <v>60000</v>
      </c>
      <c r="F143">
        <v>41000</v>
      </c>
      <c r="G143" s="3">
        <v>45971</v>
      </c>
    </row>
    <row r="144" spans="1:7" x14ac:dyDescent="0.3">
      <c r="A144">
        <v>146</v>
      </c>
      <c r="B144" t="s">
        <v>210</v>
      </c>
      <c r="C144" t="s">
        <v>80</v>
      </c>
      <c r="D144">
        <v>2</v>
      </c>
      <c r="E144">
        <v>97000</v>
      </c>
      <c r="F144">
        <v>75000</v>
      </c>
      <c r="G144" s="3">
        <v>46045</v>
      </c>
    </row>
    <row r="145" spans="1:7" x14ac:dyDescent="0.3">
      <c r="A145">
        <v>4</v>
      </c>
      <c r="B145" t="s">
        <v>211</v>
      </c>
      <c r="C145" t="s">
        <v>80</v>
      </c>
      <c r="D145">
        <v>1</v>
      </c>
      <c r="E145">
        <v>177000</v>
      </c>
      <c r="F145">
        <v>125000</v>
      </c>
      <c r="G145" s="3">
        <v>45766</v>
      </c>
    </row>
    <row r="146" spans="1:7" x14ac:dyDescent="0.3">
      <c r="A146">
        <v>106</v>
      </c>
      <c r="B146" t="s">
        <v>212</v>
      </c>
      <c r="C146" t="s">
        <v>26</v>
      </c>
      <c r="D146">
        <v>1</v>
      </c>
      <c r="E146">
        <v>7000</v>
      </c>
      <c r="F146">
        <v>4000</v>
      </c>
      <c r="G146" s="3">
        <v>45860</v>
      </c>
    </row>
    <row r="147" spans="1:7" x14ac:dyDescent="0.3">
      <c r="A147">
        <v>54</v>
      </c>
      <c r="B147" t="s">
        <v>66</v>
      </c>
      <c r="C147" t="s">
        <v>19</v>
      </c>
      <c r="D147">
        <v>4</v>
      </c>
      <c r="E147">
        <v>50000</v>
      </c>
      <c r="F147">
        <v>28000</v>
      </c>
      <c r="G147" s="3">
        <v>46084</v>
      </c>
    </row>
    <row r="148" spans="1:7" x14ac:dyDescent="0.3">
      <c r="A148">
        <v>134</v>
      </c>
      <c r="B148" t="s">
        <v>213</v>
      </c>
      <c r="C148" t="s">
        <v>214</v>
      </c>
      <c r="D148">
        <v>1</v>
      </c>
      <c r="E148">
        <v>62000</v>
      </c>
      <c r="F148">
        <v>33000</v>
      </c>
      <c r="G148" s="3">
        <v>45733</v>
      </c>
    </row>
    <row r="149" spans="1:7" x14ac:dyDescent="0.3">
      <c r="A149">
        <v>191</v>
      </c>
      <c r="B149" t="s">
        <v>180</v>
      </c>
      <c r="C149" t="s">
        <v>29</v>
      </c>
      <c r="D149">
        <v>1</v>
      </c>
      <c r="E149">
        <v>36000</v>
      </c>
      <c r="F149">
        <v>27000</v>
      </c>
      <c r="G149" s="3">
        <v>46126</v>
      </c>
    </row>
    <row r="150" spans="1:7" x14ac:dyDescent="0.3">
      <c r="A150">
        <v>165</v>
      </c>
      <c r="B150" t="s">
        <v>215</v>
      </c>
      <c r="C150" t="s">
        <v>89</v>
      </c>
      <c r="D150">
        <v>1</v>
      </c>
      <c r="E150">
        <v>153000</v>
      </c>
      <c r="F150">
        <v>114000</v>
      </c>
      <c r="G150" s="3">
        <v>46091</v>
      </c>
    </row>
    <row r="151" spans="1:7" x14ac:dyDescent="0.3">
      <c r="A151">
        <v>196</v>
      </c>
      <c r="B151" t="s">
        <v>216</v>
      </c>
      <c r="C151" t="s">
        <v>80</v>
      </c>
      <c r="D151">
        <v>4</v>
      </c>
      <c r="E151">
        <v>101000</v>
      </c>
      <c r="F151">
        <v>73000</v>
      </c>
      <c r="G151" s="3">
        <v>45871</v>
      </c>
    </row>
    <row r="152" spans="1:7" x14ac:dyDescent="0.3">
      <c r="A152">
        <v>50</v>
      </c>
      <c r="B152" t="s">
        <v>217</v>
      </c>
      <c r="C152" t="s">
        <v>29</v>
      </c>
      <c r="D152">
        <v>1</v>
      </c>
      <c r="E152">
        <v>70000</v>
      </c>
      <c r="F152">
        <v>54000</v>
      </c>
      <c r="G152" s="3">
        <v>46220</v>
      </c>
    </row>
    <row r="153" spans="1:7" x14ac:dyDescent="0.3">
      <c r="A153">
        <v>81</v>
      </c>
      <c r="B153" t="s">
        <v>108</v>
      </c>
      <c r="C153" t="s">
        <v>52</v>
      </c>
      <c r="D153">
        <v>1</v>
      </c>
      <c r="E153">
        <v>93000</v>
      </c>
      <c r="F153">
        <v>59000</v>
      </c>
      <c r="G153" s="3">
        <v>46061</v>
      </c>
    </row>
    <row r="154" spans="1:7" x14ac:dyDescent="0.3">
      <c r="A154">
        <v>35</v>
      </c>
      <c r="B154" t="s">
        <v>218</v>
      </c>
      <c r="C154" t="s">
        <v>37</v>
      </c>
      <c r="D154">
        <v>1</v>
      </c>
      <c r="E154">
        <v>50000</v>
      </c>
      <c r="F154">
        <v>26000</v>
      </c>
      <c r="G154" s="3">
        <v>45954</v>
      </c>
    </row>
    <row r="155" spans="1:7" x14ac:dyDescent="0.3">
      <c r="A155">
        <v>8</v>
      </c>
      <c r="B155" t="s">
        <v>219</v>
      </c>
      <c r="C155" t="s">
        <v>52</v>
      </c>
      <c r="D155">
        <v>2</v>
      </c>
      <c r="E155">
        <v>69000</v>
      </c>
      <c r="F155">
        <v>49000</v>
      </c>
      <c r="G155" s="3">
        <v>46041</v>
      </c>
    </row>
    <row r="156" spans="1:7" x14ac:dyDescent="0.3">
      <c r="A156">
        <v>111</v>
      </c>
      <c r="B156" t="s">
        <v>220</v>
      </c>
      <c r="C156" t="s">
        <v>37</v>
      </c>
      <c r="D156">
        <v>1</v>
      </c>
      <c r="E156">
        <v>101000</v>
      </c>
      <c r="F156">
        <v>64000</v>
      </c>
      <c r="G156" s="3">
        <v>46233</v>
      </c>
    </row>
    <row r="157" spans="1:7" x14ac:dyDescent="0.3">
      <c r="A157">
        <v>92</v>
      </c>
      <c r="B157" t="s">
        <v>221</v>
      </c>
      <c r="C157" t="s">
        <v>8</v>
      </c>
      <c r="D157">
        <v>2</v>
      </c>
      <c r="E157">
        <v>170000</v>
      </c>
      <c r="F157" t="s">
        <v>222</v>
      </c>
      <c r="G157" s="3">
        <v>45766</v>
      </c>
    </row>
    <row r="158" spans="1:7" x14ac:dyDescent="0.3">
      <c r="A158">
        <v>84</v>
      </c>
      <c r="B158" t="s">
        <v>223</v>
      </c>
      <c r="C158" t="s">
        <v>143</v>
      </c>
      <c r="D158">
        <v>1</v>
      </c>
      <c r="E158">
        <v>96000</v>
      </c>
      <c r="F158">
        <v>50000</v>
      </c>
      <c r="G158" s="3">
        <v>46239</v>
      </c>
    </row>
    <row r="159" spans="1:7" x14ac:dyDescent="0.3">
      <c r="A159">
        <v>187</v>
      </c>
      <c r="B159" t="s">
        <v>224</v>
      </c>
      <c r="C159" t="s">
        <v>195</v>
      </c>
      <c r="D159">
        <v>1</v>
      </c>
      <c r="E159">
        <v>147000</v>
      </c>
      <c r="F159">
        <v>82000</v>
      </c>
    </row>
    <row r="160" spans="1:7" x14ac:dyDescent="0.3">
      <c r="A160">
        <v>192</v>
      </c>
      <c r="B160" t="s">
        <v>225</v>
      </c>
      <c r="C160" t="s">
        <v>58</v>
      </c>
      <c r="D160">
        <v>1</v>
      </c>
      <c r="E160">
        <v>29000</v>
      </c>
      <c r="F160" t="s">
        <v>226</v>
      </c>
      <c r="G160" s="3">
        <v>45748</v>
      </c>
    </row>
    <row r="161" spans="1:7" x14ac:dyDescent="0.3">
      <c r="A161">
        <v>90</v>
      </c>
      <c r="B161" t="s">
        <v>219</v>
      </c>
      <c r="C161" t="s">
        <v>80</v>
      </c>
      <c r="D161">
        <v>1</v>
      </c>
      <c r="E161">
        <v>145000</v>
      </c>
      <c r="F161">
        <v>96000</v>
      </c>
      <c r="G161" s="3">
        <v>45779</v>
      </c>
    </row>
    <row r="162" spans="1:7" x14ac:dyDescent="0.3">
      <c r="A162">
        <v>9</v>
      </c>
      <c r="B162" t="s">
        <v>149</v>
      </c>
      <c r="C162" t="s">
        <v>227</v>
      </c>
      <c r="D162">
        <v>3</v>
      </c>
      <c r="E162">
        <v>39000</v>
      </c>
      <c r="F162">
        <v>28000</v>
      </c>
      <c r="G162" s="3">
        <v>45837</v>
      </c>
    </row>
    <row r="163" spans="1:7" x14ac:dyDescent="0.3">
      <c r="A163">
        <v>14</v>
      </c>
      <c r="B163" t="s">
        <v>228</v>
      </c>
      <c r="C163" t="s">
        <v>148</v>
      </c>
      <c r="D163">
        <v>1</v>
      </c>
      <c r="E163">
        <v>139000</v>
      </c>
      <c r="F163">
        <v>93000</v>
      </c>
      <c r="G163" s="3">
        <v>45803</v>
      </c>
    </row>
    <row r="164" spans="1:7" x14ac:dyDescent="0.3">
      <c r="A164">
        <v>60</v>
      </c>
      <c r="B164" t="s">
        <v>229</v>
      </c>
      <c r="C164" t="s">
        <v>52</v>
      </c>
      <c r="D164">
        <v>4</v>
      </c>
      <c r="E164">
        <v>61000</v>
      </c>
      <c r="F164">
        <v>45000</v>
      </c>
      <c r="G164" s="3">
        <v>45773</v>
      </c>
    </row>
    <row r="165" spans="1:7" x14ac:dyDescent="0.3">
      <c r="A165">
        <v>182</v>
      </c>
      <c r="B165" t="s">
        <v>230</v>
      </c>
      <c r="C165" t="s">
        <v>32</v>
      </c>
      <c r="D165">
        <v>1</v>
      </c>
      <c r="E165">
        <v>144000</v>
      </c>
      <c r="F165">
        <v>101000</v>
      </c>
      <c r="G165" s="3">
        <v>45818</v>
      </c>
    </row>
    <row r="166" spans="1:7" x14ac:dyDescent="0.3">
      <c r="A166">
        <v>132</v>
      </c>
      <c r="B166" t="s">
        <v>231</v>
      </c>
      <c r="C166" t="s">
        <v>14</v>
      </c>
      <c r="D166">
        <v>1</v>
      </c>
      <c r="E166" t="s">
        <v>232</v>
      </c>
      <c r="F166">
        <v>43000</v>
      </c>
      <c r="G166" s="3">
        <v>46301</v>
      </c>
    </row>
    <row r="167" spans="1:7" x14ac:dyDescent="0.3">
      <c r="A167">
        <v>18</v>
      </c>
      <c r="B167" t="s">
        <v>233</v>
      </c>
      <c r="C167" t="s">
        <v>29</v>
      </c>
      <c r="D167">
        <v>1</v>
      </c>
      <c r="E167">
        <v>56000</v>
      </c>
      <c r="F167" t="s">
        <v>234</v>
      </c>
      <c r="G167" s="3">
        <v>45931</v>
      </c>
    </row>
    <row r="168" spans="1:7" x14ac:dyDescent="0.3">
      <c r="A168">
        <v>167</v>
      </c>
      <c r="B168" t="s">
        <v>235</v>
      </c>
      <c r="C168" t="s">
        <v>236</v>
      </c>
      <c r="D168">
        <v>1</v>
      </c>
      <c r="E168">
        <v>47000</v>
      </c>
      <c r="F168">
        <v>36000</v>
      </c>
      <c r="G168" s="3">
        <v>45903</v>
      </c>
    </row>
    <row r="169" spans="1:7" x14ac:dyDescent="0.3">
      <c r="A169">
        <v>73</v>
      </c>
      <c r="B169" t="s">
        <v>237</v>
      </c>
      <c r="C169" t="s">
        <v>238</v>
      </c>
      <c r="D169">
        <v>1</v>
      </c>
      <c r="E169">
        <v>131000</v>
      </c>
      <c r="F169">
        <v>86000</v>
      </c>
      <c r="G169" s="3">
        <v>46129</v>
      </c>
    </row>
    <row r="170" spans="1:7" x14ac:dyDescent="0.3">
      <c r="A170">
        <v>186</v>
      </c>
      <c r="B170" t="s">
        <v>239</v>
      </c>
      <c r="C170" t="s">
        <v>41</v>
      </c>
      <c r="D170">
        <v>1</v>
      </c>
      <c r="E170">
        <v>78000</v>
      </c>
      <c r="F170">
        <v>55000</v>
      </c>
      <c r="G170" s="3">
        <v>45820</v>
      </c>
    </row>
    <row r="171" spans="1:7" x14ac:dyDescent="0.3">
      <c r="A171">
        <v>135</v>
      </c>
      <c r="B171" t="s">
        <v>137</v>
      </c>
      <c r="C171" t="s">
        <v>83</v>
      </c>
      <c r="D171">
        <v>2</v>
      </c>
      <c r="E171">
        <v>6000</v>
      </c>
      <c r="F171">
        <v>4000</v>
      </c>
      <c r="G171" s="3">
        <v>45951</v>
      </c>
    </row>
    <row r="172" spans="1:7" x14ac:dyDescent="0.3">
      <c r="A172">
        <v>176</v>
      </c>
      <c r="B172" t="s">
        <v>240</v>
      </c>
      <c r="C172" t="s">
        <v>138</v>
      </c>
      <c r="D172">
        <v>3</v>
      </c>
      <c r="E172">
        <v>215000</v>
      </c>
      <c r="F172">
        <v>140000</v>
      </c>
      <c r="G172" s="3">
        <v>45970</v>
      </c>
    </row>
    <row r="173" spans="1:7" x14ac:dyDescent="0.3">
      <c r="A173">
        <v>194</v>
      </c>
      <c r="B173" t="s">
        <v>241</v>
      </c>
      <c r="C173" t="s">
        <v>8</v>
      </c>
      <c r="D173">
        <v>1</v>
      </c>
      <c r="E173">
        <v>228000</v>
      </c>
      <c r="F173">
        <v>149000</v>
      </c>
      <c r="G173" s="3">
        <v>46186</v>
      </c>
    </row>
    <row r="174" spans="1:7" x14ac:dyDescent="0.3">
      <c r="A174">
        <v>64</v>
      </c>
      <c r="B174" t="s">
        <v>31</v>
      </c>
      <c r="C174" t="s">
        <v>32</v>
      </c>
      <c r="D174">
        <v>2</v>
      </c>
      <c r="E174">
        <v>290000</v>
      </c>
      <c r="F174">
        <v>157000</v>
      </c>
      <c r="G174" s="3">
        <v>45969</v>
      </c>
    </row>
    <row r="175" spans="1:7" x14ac:dyDescent="0.3">
      <c r="A175">
        <v>55</v>
      </c>
      <c r="B175" t="s">
        <v>242</v>
      </c>
      <c r="C175" t="s">
        <v>122</v>
      </c>
      <c r="D175">
        <v>1</v>
      </c>
      <c r="E175">
        <v>66000</v>
      </c>
      <c r="F175">
        <v>38000</v>
      </c>
      <c r="G175" s="3">
        <v>45935</v>
      </c>
    </row>
    <row r="176" spans="1:7" x14ac:dyDescent="0.3">
      <c r="A176">
        <v>108</v>
      </c>
      <c r="B176" t="s">
        <v>243</v>
      </c>
      <c r="C176" t="s">
        <v>122</v>
      </c>
      <c r="D176">
        <v>2</v>
      </c>
      <c r="E176" t="s">
        <v>244</v>
      </c>
      <c r="F176">
        <v>31000</v>
      </c>
      <c r="G176" s="3">
        <v>45767</v>
      </c>
    </row>
    <row r="177" spans="1:7" x14ac:dyDescent="0.3">
      <c r="A177">
        <v>51</v>
      </c>
      <c r="B177" t="s">
        <v>245</v>
      </c>
      <c r="C177" t="s">
        <v>122</v>
      </c>
      <c r="D177">
        <v>1</v>
      </c>
      <c r="E177">
        <v>68000</v>
      </c>
      <c r="F177">
        <v>43000</v>
      </c>
      <c r="G177" s="3">
        <v>45977</v>
      </c>
    </row>
    <row r="178" spans="1:7" x14ac:dyDescent="0.3">
      <c r="A178">
        <v>175</v>
      </c>
      <c r="B178" t="s">
        <v>246</v>
      </c>
      <c r="C178" t="s">
        <v>29</v>
      </c>
      <c r="D178">
        <v>1</v>
      </c>
      <c r="E178">
        <v>68000</v>
      </c>
      <c r="F178">
        <v>51000</v>
      </c>
      <c r="G178" s="3">
        <v>46187</v>
      </c>
    </row>
    <row r="179" spans="1:7" x14ac:dyDescent="0.3">
      <c r="A179">
        <v>167</v>
      </c>
      <c r="B179" t="s">
        <v>235</v>
      </c>
      <c r="C179" t="s">
        <v>236</v>
      </c>
      <c r="D179">
        <v>1</v>
      </c>
      <c r="E179">
        <v>47000</v>
      </c>
      <c r="F179">
        <v>36000</v>
      </c>
      <c r="G179" s="3">
        <v>45903</v>
      </c>
    </row>
    <row r="180" spans="1:7" x14ac:dyDescent="0.3">
      <c r="A180">
        <v>170</v>
      </c>
      <c r="B180" t="s">
        <v>163</v>
      </c>
      <c r="C180" t="s">
        <v>80</v>
      </c>
      <c r="D180">
        <v>1</v>
      </c>
      <c r="E180">
        <v>95000</v>
      </c>
      <c r="F180">
        <v>73000</v>
      </c>
      <c r="G180" s="3">
        <v>45872</v>
      </c>
    </row>
    <row r="181" spans="1:7" x14ac:dyDescent="0.3">
      <c r="A181">
        <v>59</v>
      </c>
      <c r="B181" t="s">
        <v>247</v>
      </c>
      <c r="C181" t="s">
        <v>80</v>
      </c>
      <c r="D181">
        <v>2</v>
      </c>
      <c r="E181">
        <v>192000</v>
      </c>
      <c r="F181">
        <v>116000</v>
      </c>
      <c r="G181" s="3">
        <v>45780</v>
      </c>
    </row>
    <row r="182" spans="1:7" x14ac:dyDescent="0.3">
      <c r="A182">
        <v>49</v>
      </c>
      <c r="B182" t="s">
        <v>248</v>
      </c>
      <c r="C182" t="s">
        <v>45</v>
      </c>
      <c r="D182">
        <v>1</v>
      </c>
      <c r="E182">
        <v>22000</v>
      </c>
      <c r="F182">
        <v>14000</v>
      </c>
      <c r="G182" s="3">
        <v>46226</v>
      </c>
    </row>
    <row r="183" spans="1:7" x14ac:dyDescent="0.3">
      <c r="A183">
        <v>89</v>
      </c>
      <c r="B183" t="s">
        <v>249</v>
      </c>
      <c r="C183" t="s">
        <v>21</v>
      </c>
      <c r="D183">
        <v>2</v>
      </c>
      <c r="E183">
        <v>42000</v>
      </c>
      <c r="F183" t="s">
        <v>250</v>
      </c>
      <c r="G183" s="3">
        <v>46146</v>
      </c>
    </row>
    <row r="184" spans="1:7" x14ac:dyDescent="0.3">
      <c r="A184">
        <v>22</v>
      </c>
      <c r="B184" t="s">
        <v>49</v>
      </c>
      <c r="C184" t="s">
        <v>125</v>
      </c>
      <c r="D184">
        <v>1</v>
      </c>
      <c r="E184">
        <v>157000</v>
      </c>
      <c r="F184">
        <v>84000</v>
      </c>
      <c r="G184" s="3">
        <v>46119</v>
      </c>
    </row>
    <row r="185" spans="1:7" x14ac:dyDescent="0.3">
      <c r="A185">
        <v>58</v>
      </c>
      <c r="B185" t="s">
        <v>251</v>
      </c>
      <c r="C185" t="s">
        <v>122</v>
      </c>
      <c r="D185">
        <v>1</v>
      </c>
      <c r="E185">
        <v>57000</v>
      </c>
      <c r="F185">
        <v>39000</v>
      </c>
      <c r="G185" s="3">
        <v>46021</v>
      </c>
    </row>
    <row r="186" spans="1:7" x14ac:dyDescent="0.3">
      <c r="A186">
        <v>161</v>
      </c>
      <c r="B186" t="s">
        <v>166</v>
      </c>
      <c r="C186" t="s">
        <v>58</v>
      </c>
      <c r="D186">
        <v>1</v>
      </c>
      <c r="E186">
        <v>43000</v>
      </c>
      <c r="F186" t="s">
        <v>252</v>
      </c>
      <c r="G186" s="3">
        <v>46039</v>
      </c>
    </row>
    <row r="187" spans="1:7" x14ac:dyDescent="0.3">
      <c r="A187">
        <v>203</v>
      </c>
      <c r="B187" t="s">
        <v>253</v>
      </c>
      <c r="C187" t="s">
        <v>106</v>
      </c>
      <c r="D187" t="s">
        <v>254</v>
      </c>
      <c r="E187">
        <v>211000</v>
      </c>
      <c r="F187">
        <v>117000</v>
      </c>
      <c r="G187" s="3">
        <v>45834</v>
      </c>
    </row>
    <row r="188" spans="1:7" x14ac:dyDescent="0.3">
      <c r="A188">
        <v>130</v>
      </c>
      <c r="B188" t="s">
        <v>255</v>
      </c>
      <c r="C188" t="s">
        <v>256</v>
      </c>
      <c r="D188">
        <v>2</v>
      </c>
      <c r="E188">
        <v>68000</v>
      </c>
      <c r="F188">
        <v>45000</v>
      </c>
      <c r="G188" s="3">
        <v>45907</v>
      </c>
    </row>
    <row r="189" spans="1:7" x14ac:dyDescent="0.3">
      <c r="A189">
        <v>38</v>
      </c>
      <c r="B189" t="s">
        <v>240</v>
      </c>
      <c r="C189" t="s">
        <v>138</v>
      </c>
      <c r="D189">
        <v>1</v>
      </c>
      <c r="E189">
        <v>228000</v>
      </c>
      <c r="F189">
        <v>123000</v>
      </c>
      <c r="G189" s="3">
        <v>45744</v>
      </c>
    </row>
    <row r="190" spans="1:7" x14ac:dyDescent="0.3">
      <c r="A190">
        <v>158</v>
      </c>
      <c r="C190" t="s">
        <v>37</v>
      </c>
      <c r="D190">
        <v>1</v>
      </c>
      <c r="E190">
        <v>84000</v>
      </c>
      <c r="F190">
        <v>46000</v>
      </c>
      <c r="G190" s="3">
        <v>45830</v>
      </c>
    </row>
    <row r="191" spans="1:7" x14ac:dyDescent="0.3">
      <c r="A191">
        <v>199</v>
      </c>
      <c r="B191" t="s">
        <v>257</v>
      </c>
      <c r="C191" t="s">
        <v>138</v>
      </c>
      <c r="E191">
        <v>190000</v>
      </c>
      <c r="F191">
        <v>145000</v>
      </c>
      <c r="G191" s="3">
        <v>45681</v>
      </c>
    </row>
    <row r="192" spans="1:7" x14ac:dyDescent="0.3">
      <c r="A192">
        <v>2</v>
      </c>
      <c r="C192" t="s">
        <v>89</v>
      </c>
      <c r="D192">
        <v>1</v>
      </c>
      <c r="E192">
        <v>139000</v>
      </c>
      <c r="F192">
        <v>107000</v>
      </c>
      <c r="G192" s="3">
        <v>45689</v>
      </c>
    </row>
    <row r="193" spans="1:7" x14ac:dyDescent="0.3">
      <c r="A193">
        <v>53</v>
      </c>
      <c r="B193" t="s">
        <v>258</v>
      </c>
      <c r="C193" t="s">
        <v>80</v>
      </c>
      <c r="D193">
        <v>3</v>
      </c>
      <c r="E193">
        <v>180000</v>
      </c>
      <c r="F193">
        <v>104000</v>
      </c>
      <c r="G193" s="3">
        <v>45820</v>
      </c>
    </row>
    <row r="194" spans="1:7" x14ac:dyDescent="0.3">
      <c r="A194">
        <v>150</v>
      </c>
      <c r="B194" t="s">
        <v>259</v>
      </c>
      <c r="C194" t="s">
        <v>80</v>
      </c>
      <c r="D194">
        <v>3</v>
      </c>
      <c r="E194">
        <v>130000</v>
      </c>
      <c r="F194">
        <v>99000</v>
      </c>
      <c r="G194" s="3">
        <v>46096</v>
      </c>
    </row>
    <row r="195" spans="1:7" x14ac:dyDescent="0.3">
      <c r="A195">
        <v>131</v>
      </c>
      <c r="B195" t="s">
        <v>260</v>
      </c>
      <c r="C195" t="s">
        <v>29</v>
      </c>
      <c r="D195">
        <v>1</v>
      </c>
      <c r="E195">
        <v>54000</v>
      </c>
      <c r="F195">
        <v>34000</v>
      </c>
      <c r="G195" s="3">
        <v>45778</v>
      </c>
    </row>
    <row r="196" spans="1:7" x14ac:dyDescent="0.3">
      <c r="A196">
        <v>152</v>
      </c>
      <c r="B196" t="s">
        <v>261</v>
      </c>
      <c r="C196" t="s">
        <v>50</v>
      </c>
      <c r="D196">
        <v>1</v>
      </c>
      <c r="E196">
        <v>138000</v>
      </c>
      <c r="F196">
        <v>95000</v>
      </c>
      <c r="G196" s="3">
        <v>45684</v>
      </c>
    </row>
    <row r="197" spans="1:7" x14ac:dyDescent="0.3">
      <c r="A197">
        <v>104</v>
      </c>
      <c r="B197" t="s">
        <v>262</v>
      </c>
      <c r="C197" t="s">
        <v>58</v>
      </c>
      <c r="D197">
        <v>1</v>
      </c>
      <c r="E197">
        <v>32000</v>
      </c>
      <c r="F197">
        <v>23000</v>
      </c>
      <c r="G197" s="3">
        <v>45985</v>
      </c>
    </row>
    <row r="198" spans="1:7" x14ac:dyDescent="0.3">
      <c r="A198">
        <v>100</v>
      </c>
      <c r="B198" t="s">
        <v>263</v>
      </c>
      <c r="C198" t="s">
        <v>83</v>
      </c>
      <c r="D198">
        <v>1</v>
      </c>
      <c r="E198">
        <v>7000</v>
      </c>
      <c r="F198">
        <v>4000</v>
      </c>
      <c r="G198" s="3">
        <v>45857</v>
      </c>
    </row>
    <row r="199" spans="1:7" x14ac:dyDescent="0.3">
      <c r="A199">
        <v>117</v>
      </c>
      <c r="B199" t="s">
        <v>264</v>
      </c>
      <c r="C199" t="s">
        <v>29</v>
      </c>
      <c r="D199">
        <v>1</v>
      </c>
      <c r="E199">
        <v>64000</v>
      </c>
      <c r="F199">
        <v>49000</v>
      </c>
      <c r="G199" s="3">
        <v>45864</v>
      </c>
    </row>
    <row r="200" spans="1:7" x14ac:dyDescent="0.3">
      <c r="A200">
        <v>87</v>
      </c>
      <c r="B200" t="s">
        <v>265</v>
      </c>
      <c r="C200" t="s">
        <v>266</v>
      </c>
      <c r="D200">
        <v>1</v>
      </c>
      <c r="E200">
        <v>62000</v>
      </c>
      <c r="F200">
        <v>45000</v>
      </c>
      <c r="G200" s="3">
        <v>45693</v>
      </c>
    </row>
    <row r="201" spans="1:7" x14ac:dyDescent="0.3">
      <c r="A201">
        <v>75</v>
      </c>
      <c r="B201" t="s">
        <v>23</v>
      </c>
      <c r="C201" t="s">
        <v>16</v>
      </c>
      <c r="D201">
        <v>1</v>
      </c>
      <c r="E201">
        <v>334000</v>
      </c>
      <c r="F201">
        <v>183000</v>
      </c>
      <c r="G201" s="3">
        <v>46118</v>
      </c>
    </row>
    <row r="202" spans="1:7" x14ac:dyDescent="0.3">
      <c r="A202">
        <v>122</v>
      </c>
      <c r="B202" t="s">
        <v>267</v>
      </c>
      <c r="C202" t="s">
        <v>120</v>
      </c>
      <c r="D202">
        <v>2</v>
      </c>
      <c r="E202">
        <v>59000</v>
      </c>
      <c r="F202">
        <v>31000</v>
      </c>
      <c r="G202" s="3">
        <v>45683</v>
      </c>
    </row>
    <row r="203" spans="1:7" x14ac:dyDescent="0.3">
      <c r="A203">
        <v>30</v>
      </c>
      <c r="B203" t="s">
        <v>95</v>
      </c>
      <c r="C203" t="s">
        <v>8</v>
      </c>
      <c r="D203">
        <v>1</v>
      </c>
      <c r="E203">
        <v>239000</v>
      </c>
      <c r="F203">
        <v>133000</v>
      </c>
      <c r="G203" s="3">
        <v>45724</v>
      </c>
    </row>
    <row r="204" spans="1:7" x14ac:dyDescent="0.3">
      <c r="A204">
        <v>21</v>
      </c>
      <c r="B204" t="s">
        <v>268</v>
      </c>
      <c r="C204" t="s">
        <v>16</v>
      </c>
      <c r="D204">
        <v>3</v>
      </c>
      <c r="E204">
        <v>275000</v>
      </c>
      <c r="F204">
        <v>213000</v>
      </c>
    </row>
    <row r="205" spans="1:7" x14ac:dyDescent="0.3">
      <c r="A205" t="s">
        <v>269</v>
      </c>
      <c r="B205" t="s">
        <v>270</v>
      </c>
      <c r="C205" t="s">
        <v>122</v>
      </c>
      <c r="D205">
        <v>1</v>
      </c>
      <c r="E205">
        <v>62000</v>
      </c>
      <c r="F205" t="s">
        <v>271</v>
      </c>
      <c r="G205" s="3">
        <v>46009</v>
      </c>
    </row>
    <row r="206" spans="1:7" x14ac:dyDescent="0.3">
      <c r="A206">
        <v>72</v>
      </c>
      <c r="B206" t="s">
        <v>109</v>
      </c>
      <c r="C206" t="s">
        <v>80</v>
      </c>
      <c r="D206">
        <v>2</v>
      </c>
      <c r="E206">
        <v>91000</v>
      </c>
      <c r="F206">
        <v>50000</v>
      </c>
      <c r="G206" s="3">
        <v>46097</v>
      </c>
    </row>
    <row r="207" spans="1:7" x14ac:dyDescent="0.3">
      <c r="A207">
        <v>107</v>
      </c>
      <c r="B207" t="s">
        <v>272</v>
      </c>
      <c r="C207" t="s">
        <v>26</v>
      </c>
      <c r="D207">
        <v>1</v>
      </c>
      <c r="E207">
        <v>5000</v>
      </c>
      <c r="F207">
        <v>4000</v>
      </c>
      <c r="G207" s="3">
        <v>45942</v>
      </c>
    </row>
    <row r="208" spans="1:7" x14ac:dyDescent="0.3">
      <c r="A208">
        <v>15</v>
      </c>
      <c r="B208" t="s">
        <v>273</v>
      </c>
      <c r="C208" t="s">
        <v>10</v>
      </c>
      <c r="D208">
        <v>2</v>
      </c>
      <c r="E208">
        <v>133000</v>
      </c>
      <c r="F208">
        <v>78000</v>
      </c>
      <c r="G208" s="3">
        <v>46094</v>
      </c>
    </row>
    <row r="209" spans="1:7" x14ac:dyDescent="0.3">
      <c r="A209">
        <v>93</v>
      </c>
      <c r="B209" t="s">
        <v>274</v>
      </c>
      <c r="C209" t="s">
        <v>80</v>
      </c>
      <c r="D209">
        <v>1</v>
      </c>
      <c r="E209">
        <v>167000</v>
      </c>
      <c r="F209">
        <v>93000</v>
      </c>
      <c r="G209" s="3">
        <v>45704</v>
      </c>
    </row>
    <row r="210" spans="1:7" x14ac:dyDescent="0.3">
      <c r="A210">
        <v>180</v>
      </c>
      <c r="B210" t="s">
        <v>275</v>
      </c>
      <c r="C210" t="s">
        <v>26</v>
      </c>
      <c r="D210">
        <v>1</v>
      </c>
      <c r="E210">
        <v>7000</v>
      </c>
      <c r="F210">
        <v>4000</v>
      </c>
      <c r="G210" s="3">
        <v>46226</v>
      </c>
    </row>
    <row r="211" spans="1:7" x14ac:dyDescent="0.3">
      <c r="A211">
        <v>103</v>
      </c>
      <c r="B211" t="s">
        <v>276</v>
      </c>
      <c r="C211" t="s">
        <v>80</v>
      </c>
      <c r="D211">
        <v>1</v>
      </c>
      <c r="E211">
        <v>184000</v>
      </c>
      <c r="F211">
        <v>121000</v>
      </c>
      <c r="G211" s="3">
        <v>45912</v>
      </c>
    </row>
  </sheetData>
  <autoFilter ref="A1:G211" xr:uid="{00000000-0009-0000-0000-000000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8"/>
  <sheetViews>
    <sheetView workbookViewId="0"/>
  </sheetViews>
  <sheetFormatPr defaultRowHeight="14.4" x14ac:dyDescent="0.3"/>
  <sheetData>
    <row r="1" spans="1:2" x14ac:dyDescent="0.3">
      <c r="A1" s="1" t="s">
        <v>277</v>
      </c>
      <c r="B1" s="1" t="s">
        <v>278</v>
      </c>
    </row>
    <row r="2" spans="1:2" x14ac:dyDescent="0.3">
      <c r="A2" t="s">
        <v>0</v>
      </c>
      <c r="B2" t="s">
        <v>279</v>
      </c>
    </row>
    <row r="3" spans="1:2" x14ac:dyDescent="0.3">
      <c r="A3" t="s">
        <v>1</v>
      </c>
      <c r="B3" t="s">
        <v>280</v>
      </c>
    </row>
    <row r="4" spans="1:2" x14ac:dyDescent="0.3">
      <c r="A4" t="s">
        <v>2</v>
      </c>
      <c r="B4" t="s">
        <v>281</v>
      </c>
    </row>
    <row r="5" spans="1:2" x14ac:dyDescent="0.3">
      <c r="A5" t="s">
        <v>3</v>
      </c>
      <c r="B5" t="s">
        <v>282</v>
      </c>
    </row>
    <row r="6" spans="1:2" x14ac:dyDescent="0.3">
      <c r="A6" t="s">
        <v>4</v>
      </c>
      <c r="B6" t="s">
        <v>283</v>
      </c>
    </row>
    <row r="7" spans="1:2" x14ac:dyDescent="0.3">
      <c r="A7" t="s">
        <v>5</v>
      </c>
      <c r="B7" t="s">
        <v>284</v>
      </c>
    </row>
    <row r="8" spans="1:2" x14ac:dyDescent="0.3">
      <c r="A8" t="s">
        <v>6</v>
      </c>
      <c r="B8" t="s">
        <v>285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 Tables</vt:lpstr>
      <vt:lpstr>Dashboard</vt:lpstr>
      <vt:lpstr>KPI</vt:lpstr>
      <vt:lpstr>Cleaned Data</vt:lpstr>
      <vt:lpstr>Raw_Data </vt:lpstr>
      <vt:lpstr>Data_Dictionary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Lawal</cp:lastModifiedBy>
  <dcterms:created xsi:type="dcterms:W3CDTF">2026-08-22T08:23:29Z</dcterms:created>
  <dcterms:modified xsi:type="dcterms:W3CDTF">2026-08-28T16:31:32Z</dcterms:modified>
</cp:coreProperties>
</file>